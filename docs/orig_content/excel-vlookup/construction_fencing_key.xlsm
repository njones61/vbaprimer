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vlookup\"/>
    </mc:Choice>
  </mc:AlternateContent>
  <xr:revisionPtr revIDLastSave="0" documentId="13_ncr:1_{D36521DE-D5D4-47D8-9080-6501E7228277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22" i="1"/>
  <c r="F23" i="1"/>
</calcChain>
</file>

<file path=xl/sharedStrings.xml><?xml version="1.0" encoding="utf-8"?>
<sst xmlns="http://schemas.openxmlformats.org/spreadsheetml/2006/main" count="35" uniqueCount="24">
  <si>
    <t>Material</t>
  </si>
  <si>
    <t>Cost/yd</t>
  </si>
  <si>
    <t>#</t>
  </si>
  <si>
    <t>Company</t>
  </si>
  <si>
    <t>Available by</t>
  </si>
  <si>
    <t>Willis Fencing</t>
  </si>
  <si>
    <t>Safe 2 Build</t>
  </si>
  <si>
    <t>Ricks Construction</t>
  </si>
  <si>
    <t>Premier Perimeters</t>
  </si>
  <si>
    <t>Fox Grey Construction</t>
  </si>
  <si>
    <t>Chain Fencing</t>
  </si>
  <si>
    <t>Randy's Fencing</t>
  </si>
  <si>
    <t>Precast Barriers</t>
  </si>
  <si>
    <t>Sotherby Fences</t>
  </si>
  <si>
    <t>Construction Zone</t>
  </si>
  <si>
    <t>Chain-Link</t>
  </si>
  <si>
    <t>Concrete</t>
  </si>
  <si>
    <t>Wood</t>
  </si>
  <si>
    <t>Barb</t>
  </si>
  <si>
    <t>Vinyl</t>
  </si>
  <si>
    <t>Yards of Fencing Needed</t>
  </si>
  <si>
    <t>yd</t>
  </si>
  <si>
    <t>Cost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</si>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</sst>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9FFEC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2" fillId="3" borderId="2" xfId="0" applyFont="1" applyFill="1" applyBorder="1"/>
    <xf numFmtId="0" fontId="0" fillId="4" borderId="2" xfId="0" applyFont="1" applyFill="1" applyBorder="1"/>
    <xf numFmtId="164" fontId="0" fillId="4" borderId="2" xfId="0" applyNumberFormat="1" applyFont="1" applyFill="1" applyBorder="1"/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14" fontId="0" fillId="8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14" fontId="0" fillId="8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95249</xdr:rowOff>
    </xdr:from>
    <xdr:to>
      <xdr:col>9</xdr:col>
      <xdr:colOff>219076</xdr:colOff>
      <xdr:row>7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49"/>
          <a:ext cx="5467350" cy="1400175"/>
        </a:xfrm>
        <a:prstGeom prst="rect">
          <a:avLst/>
        </a:prstGeom>
        <a:solidFill>
          <a:srgbClr val="FFFF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Construction Fencing</a:t>
          </a:r>
        </a:p>
      </xdr:txBody>
    </xdr:sp>
    <xdr:clientData/>
  </xdr:twoCellAnchor>
  <xdr:twoCellAnchor>
    <xdr:from>
      <xdr:col>6</xdr:col>
      <xdr:colOff>152400</xdr:colOff>
      <xdr:row>12</xdr:row>
      <xdr:rowOff>9526</xdr:rowOff>
    </xdr:from>
    <xdr:to>
      <xdr:col>13</xdr:col>
      <xdr:colOff>171450</xdr:colOff>
      <xdr:row>16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14900" y="2324101"/>
          <a:ext cx="4362450" cy="80962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Your boss has asked you to build a table showing some</a:t>
          </a:r>
          <a:r>
            <a:rPr lang="en-US" sz="1100" baseline="0"/>
            <a:t> fencing options for your company's construction site. Use a VLOOKUP as part of the formula for cells F14:F23 to determine the total cost for each option. Don't forget to use absolute references when needed.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M23"/>
  <sheetViews>
    <sheetView tabSelected="1" workbookViewId="0">
      <selection activeCell="A9" sqref="A9"/>
    </sheetView>
  </sheetViews>
  <sheetFormatPr defaultRowHeight="14.4" x14ac:dyDescent="0.3"/>
  <cols>
    <col min="3" max="3" width="20.6640625" bestFit="1" customWidth="1"/>
    <col min="4" max="4" width="11.88671875" bestFit="1" customWidth="1"/>
    <col min="5" max="5" width="10.33203125" bestFit="1" customWidth="1"/>
    <col min="6" max="6" width="10.33203125" customWidth="1"/>
    <col min="12" max="12" width="10.33203125" bestFit="1" customWidth="1"/>
  </cols>
  <sheetData>
    <row r="6" spans="1:13" x14ac:dyDescent="0.3">
      <c r="L6" s="3" t="s">
        <v>0</v>
      </c>
      <c r="M6" s="3" t="s">
        <v>1</v>
      </c>
    </row>
    <row r="7" spans="1:13" x14ac:dyDescent="0.3">
      <c r="L7" s="4" t="s">
        <v>15</v>
      </c>
      <c r="M7" s="5">
        <v>5</v>
      </c>
    </row>
    <row r="8" spans="1:13" x14ac:dyDescent="0.3">
      <c r="L8" s="4" t="s">
        <v>16</v>
      </c>
      <c r="M8" s="5">
        <v>50</v>
      </c>
    </row>
    <row r="9" spans="1:13" x14ac:dyDescent="0.3">
      <c r="A9" s="1" t="s">
        <v>23</v>
      </c>
      <c r="L9" s="4" t="s">
        <v>17</v>
      </c>
      <c r="M9" s="5">
        <v>12</v>
      </c>
    </row>
    <row r="10" spans="1:13" ht="15" thickBot="1" x14ac:dyDescent="0.35">
      <c r="L10" s="4" t="s">
        <v>18</v>
      </c>
      <c r="M10" s="5">
        <v>3</v>
      </c>
    </row>
    <row r="11" spans="1:13" ht="15" thickBot="1" x14ac:dyDescent="0.35">
      <c r="B11" s="18" t="s">
        <v>20</v>
      </c>
      <c r="C11" s="18"/>
      <c r="D11" s="2">
        <v>1120</v>
      </c>
      <c r="E11" t="s">
        <v>21</v>
      </c>
      <c r="L11" s="4" t="s">
        <v>19</v>
      </c>
      <c r="M11" s="5">
        <v>14</v>
      </c>
    </row>
    <row r="12" spans="1:13" ht="15" thickBot="1" x14ac:dyDescent="0.35"/>
    <row r="13" spans="1:13" ht="15" thickBot="1" x14ac:dyDescent="0.35">
      <c r="B13" s="6" t="s">
        <v>2</v>
      </c>
      <c r="C13" s="7" t="s">
        <v>3</v>
      </c>
      <c r="D13" s="7" t="s">
        <v>4</v>
      </c>
      <c r="E13" s="7" t="s">
        <v>0</v>
      </c>
      <c r="F13" s="8" t="s">
        <v>22</v>
      </c>
    </row>
    <row r="14" spans="1:13" x14ac:dyDescent="0.3">
      <c r="B14" s="9">
        <v>1</v>
      </c>
      <c r="C14" s="10" t="s">
        <v>5</v>
      </c>
      <c r="D14" s="11">
        <v>42873</v>
      </c>
      <c r="E14" s="12" t="s">
        <v>18</v>
      </c>
      <c r="F14" s="13">
        <f t="shared" ref="F14:F23" si="0">$D$11*VLOOKUP(E14,$L$7:$M$11,2,FALSE)</f>
        <v>3360</v>
      </c>
    </row>
    <row r="15" spans="1:13" x14ac:dyDescent="0.3">
      <c r="B15" s="14">
        <v>2</v>
      </c>
      <c r="C15" s="15" t="s">
        <v>6</v>
      </c>
      <c r="D15" s="16">
        <v>42900</v>
      </c>
      <c r="E15" s="17" t="s">
        <v>16</v>
      </c>
      <c r="F15" s="13">
        <f t="shared" si="0"/>
        <v>56000</v>
      </c>
    </row>
    <row r="16" spans="1:13" x14ac:dyDescent="0.3">
      <c r="B16" s="14">
        <v>3</v>
      </c>
      <c r="C16" s="15" t="s">
        <v>7</v>
      </c>
      <c r="D16" s="16">
        <v>43242</v>
      </c>
      <c r="E16" s="17" t="s">
        <v>17</v>
      </c>
      <c r="F16" s="13">
        <f t="shared" si="0"/>
        <v>13440</v>
      </c>
    </row>
    <row r="17" spans="2:6" x14ac:dyDescent="0.3">
      <c r="B17" s="14">
        <v>4</v>
      </c>
      <c r="C17" s="15" t="s">
        <v>8</v>
      </c>
      <c r="D17" s="16">
        <v>42858</v>
      </c>
      <c r="E17" s="17" t="s">
        <v>16</v>
      </c>
      <c r="F17" s="13">
        <f t="shared" si="0"/>
        <v>56000</v>
      </c>
    </row>
    <row r="18" spans="2:6" x14ac:dyDescent="0.3">
      <c r="B18" s="14">
        <v>5</v>
      </c>
      <c r="C18" s="15" t="s">
        <v>9</v>
      </c>
      <c r="D18" s="16">
        <v>42890</v>
      </c>
      <c r="E18" s="17" t="s">
        <v>15</v>
      </c>
      <c r="F18" s="13">
        <f t="shared" si="0"/>
        <v>5600</v>
      </c>
    </row>
    <row r="19" spans="2:6" x14ac:dyDescent="0.3">
      <c r="B19" s="14">
        <v>6</v>
      </c>
      <c r="C19" s="15" t="s">
        <v>10</v>
      </c>
      <c r="D19" s="16">
        <v>43246</v>
      </c>
      <c r="E19" s="17" t="s">
        <v>15</v>
      </c>
      <c r="F19" s="13">
        <f t="shared" si="0"/>
        <v>5600</v>
      </c>
    </row>
    <row r="20" spans="2:6" x14ac:dyDescent="0.3">
      <c r="B20" s="14">
        <v>7</v>
      </c>
      <c r="C20" s="15" t="s">
        <v>11</v>
      </c>
      <c r="D20" s="16">
        <v>42873</v>
      </c>
      <c r="E20" s="17" t="s">
        <v>17</v>
      </c>
      <c r="F20" s="13">
        <f t="shared" si="0"/>
        <v>13440</v>
      </c>
    </row>
    <row r="21" spans="2:6" x14ac:dyDescent="0.3">
      <c r="B21" s="14">
        <v>8</v>
      </c>
      <c r="C21" s="15" t="s">
        <v>12</v>
      </c>
      <c r="D21" s="16">
        <v>42898</v>
      </c>
      <c r="E21" s="17" t="s">
        <v>16</v>
      </c>
      <c r="F21" s="13">
        <f t="shared" si="0"/>
        <v>56000</v>
      </c>
    </row>
    <row r="22" spans="2:6" x14ac:dyDescent="0.3">
      <c r="B22" s="14">
        <v>9</v>
      </c>
      <c r="C22" s="15" t="s">
        <v>13</v>
      </c>
      <c r="D22" s="16">
        <v>43242</v>
      </c>
      <c r="E22" s="17" t="s">
        <v>19</v>
      </c>
      <c r="F22" s="13">
        <f t="shared" si="0"/>
        <v>15680</v>
      </c>
    </row>
    <row r="23" spans="2:6" x14ac:dyDescent="0.3">
      <c r="B23" s="14">
        <v>10</v>
      </c>
      <c r="C23" s="15" t="s">
        <v>14</v>
      </c>
      <c r="D23" s="16">
        <v>42875</v>
      </c>
      <c r="E23" s="17" t="s">
        <v>17</v>
      </c>
      <c r="F23" s="13">
        <f t="shared" si="0"/>
        <v>13440</v>
      </c>
    </row>
  </sheetData>
  <mergeCells count="1">
    <mergeCell ref="B11:C11"/>
  </mergeCells>
  <dataValidations count="1">
    <dataValidation type="list" allowBlank="1" showInputMessage="1" showErrorMessage="1" sqref="E14:E23" xr:uid="{00000000-0002-0000-0000-000000000000}">
      <formula1>$L$7:$L$11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2021-05-19T17:28:01Z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