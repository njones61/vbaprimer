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3929" codeName="{4D1C537B-E38A-612A-F078-A93A15B4B7F4}"/>
  <workbookPr codeName="ThisWorkbook"/>
  <mc:AlternateContent xmlns:mc="http://schemas.openxmlformats.org/markup-compatibility/2006">
    <mc:Choice Requires="x15">
      <x15ac:absPath xmlns:x15ac="http://schemas.microsoft.com/office/spreadsheetml/2010/11/ac" url="J:\groups\ce170\www\syllabus\vbaprimer\exercises\excel\array_forumulas\"/>
    </mc:Choice>
  </mc:AlternateContent>
  <xr:revisionPtr revIDLastSave="0" documentId="13_ncr:1_{F509F5A5-AC69-4E8A-972A-97EDFC9AF286}" xr6:coauthVersionLast="46" xr6:coauthVersionMax="46" xr10:uidLastSave="{00000000-0000-0000-0000-000000000000}"/>
  <bookViews>
    <workbookView xWindow="-108" yWindow="972" windowWidth="23256" windowHeight="11496" xr2:uid="{00000000-000D-0000-FFFF-FFFF00000000}"/>
  </bookViews>
  <sheets>
    <sheet name="Sheet1" sheetId="1" r:id="rId1"/>
  </sheets>
  <definedNames>
    <definedName name="Date1">Sheet1!$H$12:$H$26</definedName>
    <definedName name="Date2">Sheet1!$I$12:$I$26</definedName>
    <definedName name="LOCAL_DATE_SEPARATOR" hidden="1">INDEX(GET.WORKSPACE(37),17)</definedName>
    <definedName name="LOCAL_DAY_FORMAT" hidden="1">INDEX(GET.WORKSPACE(37),21)</definedName>
    <definedName name="LOCAL_HOUR_FORMAT" hidden="1">INDEX(GET.WORKSPACE(37),22)</definedName>
    <definedName name="LOCAL_MINUTE_FORMAT" hidden="1">INDEX(GET.WORKSPACE(37),23)</definedName>
    <definedName name="LOCAL_MONTH_FORMAT" hidden="1">INDEX(GET.WORKSPACE(37),20)</definedName>
    <definedName name="LOCAL_MYSQL_DATE_FORMAT" hidden="1">REPT(LOCAL_YEAR_FORMAT,4)&amp;LOCAL_DATE_SEPARATOR&amp;REPT(LOCAL_MONTH_FORMAT,2)&amp;LOCAL_DATE_SEPARATOR&amp;REPT(LOCAL_DAY_FORMAT,2)&amp;" "&amp;REPT(LOCAL_HOUR_FORMAT,2)&amp;LOCAL_TIME_SEPARATOR&amp;REPT(LOCAL_MINUTE_FORMAT,2)&amp;LOCAL_TIME_SEPARATOR&amp;REPT(LOCAL_SECOND_FORMAT,2)</definedName>
    <definedName name="LOCAL_SECOND_FORMAT" hidden="1">INDEX(GET.WORKSPACE(37),24)</definedName>
    <definedName name="LOCAL_TIME_SEPARATOR" hidden="1">INDEX(GET.WORKSPACE(37),18)</definedName>
    <definedName name="LOCAL_YEAR_FORMAT" hidden="1">INDEX(GET.WORKSPACE(37),19)</definedName>
    <definedName name="Number">Sheet1!$C$12:$C$26</definedName>
    <definedName name="Price">Sheet1!$D$12:$D$26</definedName>
    <definedName name="Total">Sheet1!$F$12:$F$26</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J34" i="1" l="1" a="1"/>
  <c r="J34" i="1" s="1"/>
  <c r="J35" i="1" a="1"/>
  <c r="J35" i="1" s="1"/>
  <c r="J36" i="1" a="1"/>
  <c r="J36" i="1" s="1"/>
  <c r="J37" i="1" a="1"/>
  <c r="J37" i="1" s="1"/>
  <c r="E34" i="1" a="1"/>
  <c r="E34" i="1" s="1"/>
  <c r="E35" i="1" a="1"/>
  <c r="E35" i="1" s="1"/>
  <c r="E36" i="1" a="1"/>
  <c r="E36" i="1" s="1"/>
  <c r="E37" i="1" a="1"/>
  <c r="E37" i="1" s="1"/>
  <c r="J32" i="1"/>
  <c r="J12" i="1"/>
  <c r="J31" i="1" s="1"/>
  <c r="J13" i="1"/>
  <c r="J14" i="1"/>
  <c r="J15" i="1"/>
  <c r="J16" i="1"/>
  <c r="J17" i="1"/>
  <c r="J18" i="1"/>
  <c r="J19" i="1"/>
  <c r="J20" i="1"/>
  <c r="J21" i="1"/>
  <c r="J22" i="1"/>
  <c r="J23" i="1"/>
  <c r="J24" i="1"/>
  <c r="J25" i="1"/>
  <c r="J26" i="1"/>
  <c r="F12" i="1" a="1"/>
  <c r="F13" i="1" s="1"/>
  <c r="E12" i="1"/>
  <c r="E29" i="1" s="1"/>
  <c r="E13" i="1"/>
  <c r="E14" i="1"/>
  <c r="E15" i="1"/>
  <c r="E16" i="1"/>
  <c r="E17" i="1"/>
  <c r="E18" i="1"/>
  <c r="E19" i="1"/>
  <c r="E20" i="1"/>
  <c r="E21" i="1"/>
  <c r="E22" i="1"/>
  <c r="E23" i="1"/>
  <c r="E24" i="1"/>
  <c r="E25" i="1"/>
  <c r="E26" i="1"/>
  <c r="J30" i="1" l="1"/>
  <c r="J29" i="1"/>
  <c r="E32" i="1"/>
  <c r="E31" i="1"/>
  <c r="E30" i="1"/>
  <c r="F22" i="1"/>
  <c r="F18" i="1"/>
  <c r="F14" i="1"/>
  <c r="F24" i="1"/>
  <c r="F20" i="1"/>
  <c r="F16" i="1"/>
  <c r="F12" i="1"/>
  <c r="F26" i="1"/>
  <c r="F23" i="1"/>
  <c r="F19" i="1"/>
  <c r="F15" i="1"/>
  <c r="F25" i="1"/>
  <c r="F21" i="1"/>
  <c r="F17" i="1"/>
</calcChain>
</file>

<file path=xl/sharedStrings.xml><?xml version="1.0" encoding="utf-8"?>
<sst xmlns="http://schemas.openxmlformats.org/spreadsheetml/2006/main" count="33" uniqueCount="23">
  <si>
    <t>Price</t>
  </si>
  <si>
    <t>Total</t>
  </si>
  <si>
    <t>Difference</t>
  </si>
  <si>
    <t>NO ARRAY</t>
  </si>
  <si>
    <t>ARRAY</t>
  </si>
  <si>
    <t>Sum of Total</t>
  </si>
  <si>
    <t>Average of Total</t>
  </si>
  <si>
    <t>Max of Total</t>
  </si>
  <si>
    <t>Min of Total</t>
  </si>
  <si>
    <t>No Array</t>
  </si>
  <si>
    <t>Array</t>
  </si>
  <si>
    <t>Sum of Difference</t>
  </si>
  <si>
    <t>Max of Difference</t>
  </si>
  <si>
    <t>Min of Difference</t>
  </si>
  <si>
    <t>Average of Difference</t>
  </si>
  <si>
    <t>A</t>
  </si>
  <si>
    <t>B</t>
  </si>
  <si>
    <t>C</t>
  </si>
  <si>
    <t>D</t>
  </si>
  <si>
    <t>Date2</t>
  </si>
  <si>
    <t>Date1</t>
  </si>
  <si>
    <t>Number</t>
  </si>
  <si>
    <t>CCE 170 - Brigham Young University</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</si>
</sst>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1">
    <numFmt numFmtId="44" formatCode="_(&quot;$&quot;* #,##0.00_);_(&quot;$&quot;* \(#,##0.00\);_(&quot;$&quot;* &quot;-&quot;??_);_(@_)"/>
  </numFmts>
  <fonts count="8" x14ac:knownFonts="1">
    <font>
      <sz val="11"/>
      <color theme="1"/>
      <name val="Calibri"/>
      <family val="2"/>
      <scheme val="minor"/>
    </font>
    <font>
      <b/>
      <i/>
      <sz val="11"/>
      <color theme="1"/>
      <name val="Calibri"/>
      <family val="2"/>
      <scheme val="minor"/>
    </font>
    <font>
      <sz val="11"/>
      <color theme="1"/>
      <name val="Calibri"/>
      <family val="2"/>
      <scheme val="minor"/>
    </font>
    <font>
      <b/>
      <sz val="11"/>
      <color theme="1"/>
      <name val="Calibri"/>
      <family val="2"/>
      <scheme val="minor"/>
    </font>
    <font>
      <sz val="11"/>
      <color theme="0"/>
      <name val="Calibri"/>
      <family val="2"/>
      <scheme val="minor"/>
    </font>
    <font>
      <b/>
      <sz val="12"/>
      <color theme="1"/>
      <name val="Calibri"/>
      <family val="2"/>
      <scheme val="minor"/>
    </font>
    <font>
      <b/>
      <sz val="14"/>
      <color theme="1"/>
      <name val="Calibri"/>
      <family val="2"/>
      <scheme val="minor"/>
    </font>
    <font>
      <b/>
      <sz val="20"/>
      <color theme="1"/>
      <name val="Calibri"/>
      <family val="2"/>
      <scheme val="minor"/>
    </font>
  </fonts>
  <fills count="7">
    <fill>
      <patternFill patternType="none"/>
    </fill>
    <fill>
      <patternFill patternType="gray125"/>
    </fill>
    <fill>
      <patternFill patternType="solid">
        <fgColor theme="1" tint="4.9989318521683403E-2"/>
        <bgColor indexed="64"/>
      </patternFill>
    </fill>
    <fill>
      <patternFill patternType="solid">
        <fgColor theme="0" tint="-4.9989318521683403E-2"/>
        <bgColor indexed="64"/>
      </patternFill>
    </fill>
    <fill>
      <patternFill patternType="solid">
        <fgColor rgb="FFFFFF00"/>
        <bgColor indexed="64"/>
      </patternFill>
    </fill>
    <fill>
      <patternFill patternType="solid">
        <fgColor rgb="FFE17B7B"/>
        <bgColor indexed="64"/>
      </patternFill>
    </fill>
    <fill>
      <patternFill patternType="solid">
        <fgColor theme="4" tint="0.79998168889431442"/>
        <bgColor indexed="64"/>
      </patternFill>
    </fill>
  </fills>
  <borders count="7">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diagonal/>
    </border>
    <border>
      <left/>
      <right/>
      <top style="thin">
        <color indexed="64"/>
      </top>
      <bottom/>
      <diagonal/>
    </border>
    <border>
      <left style="thin">
        <color indexed="64"/>
      </left>
      <right/>
      <top/>
      <bottom/>
      <diagonal/>
    </border>
    <border>
      <left style="thin">
        <color indexed="64"/>
      </left>
      <right/>
      <top/>
      <bottom style="thin">
        <color indexed="64"/>
      </bottom>
      <diagonal/>
    </border>
    <border>
      <left/>
      <right/>
      <top/>
      <bottom style="thin">
        <color indexed="64"/>
      </bottom>
      <diagonal/>
    </border>
  </borders>
  <cellStyleXfs count="2">
    <xf numFmtId="0" fontId="0" fillId="0" borderId="0"/>
    <xf numFmtId="44" fontId="2" fillId="0" borderId="0" applyFont="0" applyFill="0" applyBorder="0" applyAlignment="0" applyProtection="0"/>
  </cellStyleXfs>
  <cellXfs count="29">
    <xf numFmtId="0" fontId="0" fillId="0" borderId="0" xfId="0"/>
    <xf numFmtId="0" fontId="1" fillId="0" borderId="0" xfId="0" applyFont="1"/>
    <xf numFmtId="0" fontId="4" fillId="2" borderId="0" xfId="0" applyFont="1" applyFill="1" applyAlignment="1">
      <alignment horizontal="center"/>
    </xf>
    <xf numFmtId="14" fontId="4" fillId="2" borderId="0" xfId="0" applyNumberFormat="1" applyFont="1" applyFill="1" applyAlignment="1">
      <alignment horizontal="center"/>
    </xf>
    <xf numFmtId="0" fontId="5" fillId="0" borderId="0" xfId="0" applyFont="1" applyAlignment="1">
      <alignment horizontal="center" wrapText="1"/>
    </xf>
    <xf numFmtId="0" fontId="5" fillId="0" borderId="0" xfId="0" applyFont="1" applyAlignment="1">
      <alignment horizontal="center"/>
    </xf>
    <xf numFmtId="0" fontId="0" fillId="3" borderId="1" xfId="0" applyFill="1" applyBorder="1" applyAlignment="1">
      <alignment horizontal="center"/>
    </xf>
    <xf numFmtId="44" fontId="0" fillId="3" borderId="1" xfId="1" applyFont="1" applyFill="1" applyBorder="1" applyAlignment="1">
      <alignment horizontal="center"/>
    </xf>
    <xf numFmtId="44" fontId="0" fillId="5" borderId="1" xfId="1" applyFont="1" applyFill="1" applyBorder="1" applyAlignment="1">
      <alignment horizontal="center"/>
    </xf>
    <xf numFmtId="44" fontId="0" fillId="6" borderId="1" xfId="1" applyFont="1" applyFill="1" applyBorder="1" applyAlignment="1">
      <alignment horizontal="center"/>
    </xf>
    <xf numFmtId="44" fontId="0" fillId="6" borderId="1" xfId="0" applyNumberFormat="1" applyFill="1" applyBorder="1"/>
    <xf numFmtId="0" fontId="0" fillId="0" borderId="3" xfId="0" applyBorder="1"/>
    <xf numFmtId="0" fontId="3" fillId="0" borderId="3" xfId="0" applyFont="1" applyBorder="1" applyAlignment="1">
      <alignment horizontal="right"/>
    </xf>
    <xf numFmtId="0" fontId="0" fillId="0" borderId="0" xfId="0" applyBorder="1"/>
    <xf numFmtId="0" fontId="3" fillId="0" borderId="0" xfId="0" applyFont="1" applyBorder="1" applyAlignment="1">
      <alignment horizontal="right"/>
    </xf>
    <xf numFmtId="0" fontId="0" fillId="0" borderId="6" xfId="0" applyBorder="1"/>
    <xf numFmtId="0" fontId="3" fillId="0" borderId="6" xfId="0" applyFont="1" applyBorder="1" applyAlignment="1">
      <alignment horizontal="right"/>
    </xf>
    <xf numFmtId="44" fontId="0" fillId="5" borderId="1" xfId="1" applyFont="1" applyFill="1" applyBorder="1"/>
    <xf numFmtId="0" fontId="7" fillId="4" borderId="1" xfId="0" applyFont="1" applyFill="1" applyBorder="1" applyAlignment="1">
      <alignment horizontal="center"/>
    </xf>
    <xf numFmtId="0" fontId="0" fillId="0" borderId="0" xfId="0" applyFill="1"/>
    <xf numFmtId="0" fontId="0" fillId="0" borderId="0" xfId="0" applyFill="1" applyBorder="1" applyAlignment="1">
      <alignment horizontal="center"/>
    </xf>
    <xf numFmtId="44" fontId="0" fillId="0" borderId="0" xfId="1" applyFont="1" applyFill="1" applyBorder="1" applyAlignment="1">
      <alignment horizontal="center"/>
    </xf>
    <xf numFmtId="44" fontId="0" fillId="0" borderId="0" xfId="0" applyNumberFormat="1" applyFill="1" applyBorder="1"/>
    <xf numFmtId="0" fontId="6" fillId="0" borderId="2" xfId="0" applyFont="1" applyBorder="1" applyAlignment="1">
      <alignment horizontal="center" vertical="center"/>
    </xf>
    <xf numFmtId="0" fontId="6" fillId="0" borderId="3" xfId="0" applyFont="1" applyBorder="1" applyAlignment="1">
      <alignment horizontal="center" vertical="center"/>
    </xf>
    <xf numFmtId="0" fontId="6" fillId="0" borderId="4" xfId="0" applyFont="1" applyBorder="1" applyAlignment="1">
      <alignment horizontal="center" vertical="center"/>
    </xf>
    <xf numFmtId="0" fontId="6" fillId="0" borderId="0" xfId="0" applyFont="1" applyBorder="1" applyAlignment="1">
      <alignment horizontal="center" vertical="center"/>
    </xf>
    <xf numFmtId="0" fontId="6" fillId="0" borderId="5" xfId="0" applyFont="1" applyBorder="1" applyAlignment="1">
      <alignment horizontal="center" vertical="center"/>
    </xf>
    <xf numFmtId="0" fontId="6" fillId="0" borderId="6" xfId="0" applyFont="1" applyBorder="1" applyAlignment="1">
      <alignment horizontal="center" vertical="center"/>
    </xf>
  </cellXfs>
  <cellStyles count="2">
    <cellStyle name="Currency" xfId="1" builtinId="4"/>
    <cellStyle name="Normal" xfId="0" builtinId="0"/>
  </cellStyles>
  <dxfs count="2">
    <dxf>
      <font>
        <b/>
        <i val="0"/>
      </font>
      <fill>
        <patternFill>
          <bgColor rgb="FFD7D7D7"/>
        </patternFill>
      </fill>
    </dxf>
    <dxf>
      <font>
        <b val="0"/>
        <i val="0"/>
      </font>
      <fill>
        <patternFill patternType="none">
          <bgColor indexed="65"/>
        </patternFill>
      </fill>
    </dxf>
  </dxfs>
  <tableStyles count="1" defaultTableStyle="TableStyleMedium2" defaultPivotStyle="PivotStyleLight16">
    <tableStyle name="MySqlDefault" pivot="0" table="0" count="2" xr9:uid="{00000000-0011-0000-FFFF-FFFF00000000}">
      <tableStyleElement type="wholeTable" dxfId="1"/>
      <tableStyleElement type="headerRow" dxfId="0"/>
    </tableStyle>
  </tableStyles>
  <colors>
    <mruColors>
      <color rgb="FFE17B7B"/>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styles" Target="styles.xml"/><Relationship Id="rId2" Type="http://schemas.openxmlformats.org/officeDocument/2006/relationships/theme" Target="theme/theme1.xml"/><Relationship Id="rId1" Type="http://schemas.openxmlformats.org/officeDocument/2006/relationships/worksheet" Target="worksheets/sheet1.xml"/><Relationship Id="rId6" Type="http://schemas.microsoft.com/office/2006/relationships/vbaProject" Target="vbaProject.bin"/><Relationship Id="rId5" Type="http://schemas.openxmlformats.org/officeDocument/2006/relationships/calcChain" Target="calcChain.xml"/><Relationship Id="rId4" Type="http://schemas.openxmlformats.org/officeDocument/2006/relationships/sharedStrings" Target="sharedStrings.xml"/></Relationships>
</file>

<file path=xl/drawings/drawing1.xml><?xml version="1.0" encoding="utf-8"?>
<xdr:wsDr xmlns:xdr="http://schemas.openxmlformats.org/drawingml/2006/spreadsheetDrawing" xmlns:a="http://schemas.openxmlformats.org/drawingml/2006/main">
  <xdr:twoCellAnchor>
    <xdr:from>
      <xdr:col>0</xdr:col>
      <xdr:colOff>238126</xdr:colOff>
      <xdr:row>0</xdr:row>
      <xdr:rowOff>95250</xdr:rowOff>
    </xdr:from>
    <xdr:to>
      <xdr:col>10</xdr:col>
      <xdr:colOff>219076</xdr:colOff>
      <xdr:row>6</xdr:row>
      <xdr:rowOff>171450</xdr:rowOff>
    </xdr:to>
    <xdr:sp macro="" textlink="">
      <xdr:nvSpPr>
        <xdr:cNvPr id="5" name="TextBox 4">
          <a:extLst>
            <a:ext uri="{FF2B5EF4-FFF2-40B4-BE49-F238E27FC236}">
              <a16:creationId xmlns:a16="http://schemas.microsoft.com/office/drawing/2014/main" id="{00000000-0008-0000-0000-000005000000}"/>
            </a:ext>
          </a:extLst>
        </xdr:cNvPr>
        <xdr:cNvSpPr txBox="1"/>
      </xdr:nvSpPr>
      <xdr:spPr>
        <a:xfrm>
          <a:off x="238126" y="95250"/>
          <a:ext cx="5467350" cy="1219200"/>
        </a:xfrm>
        <a:prstGeom prst="rect">
          <a:avLst/>
        </a:prstGeom>
        <a:ln w="28575">
          <a:solidFill>
            <a:schemeClr val="bg2">
              <a:lumMod val="50000"/>
            </a:schemeClr>
          </a:solidFill>
        </a:ln>
      </xdr:spPr>
      <xdr:style>
        <a:lnRef idx="0">
          <a:schemeClr val="accent1"/>
        </a:lnRef>
        <a:fillRef idx="3">
          <a:schemeClr val="accent1"/>
        </a:fillRef>
        <a:effectRef idx="3">
          <a:schemeClr val="accent1"/>
        </a:effectRef>
        <a:fontRef idx="minor">
          <a:schemeClr val="lt1"/>
        </a:fontRef>
      </xdr:style>
      <xdr:txBody>
        <a:bodyPr vertOverflow="clip" horzOverflow="clip" wrap="square" rtlCol="0" anchor="ctr"/>
        <a:lstStyle/>
        <a:p>
          <a:pPr algn="ctr"/>
          <a:r>
            <a:rPr lang="en-US" sz="4800" b="1"/>
            <a:t>Arrays</a:t>
          </a:r>
        </a:p>
      </xdr:txBody>
    </xdr:sp>
    <xdr:clientData/>
  </xdr:twoCellAnchor>
  <xdr:twoCellAnchor>
    <xdr:from>
      <xdr:col>10</xdr:col>
      <xdr:colOff>266700</xdr:colOff>
      <xdr:row>9</xdr:row>
      <xdr:rowOff>19050</xdr:rowOff>
    </xdr:from>
    <xdr:to>
      <xdr:col>17</xdr:col>
      <xdr:colOff>209550</xdr:colOff>
      <xdr:row>27</xdr:row>
      <xdr:rowOff>257175</xdr:rowOff>
    </xdr:to>
    <xdr:sp macro="" textlink="">
      <xdr:nvSpPr>
        <xdr:cNvPr id="2" name="TextBox 1">
          <a:extLst>
            <a:ext uri="{FF2B5EF4-FFF2-40B4-BE49-F238E27FC236}">
              <a16:creationId xmlns:a16="http://schemas.microsoft.com/office/drawing/2014/main" id="{00000000-0008-0000-0000-000002000000}"/>
            </a:ext>
          </a:extLst>
        </xdr:cNvPr>
        <xdr:cNvSpPr txBox="1"/>
      </xdr:nvSpPr>
      <xdr:spPr>
        <a:xfrm>
          <a:off x="6562725" y="1733550"/>
          <a:ext cx="4210050" cy="3905250"/>
        </a:xfrm>
        <a:prstGeom prst="rect">
          <a:avLst/>
        </a:prstGeom>
        <a:ln w="28575">
          <a:solidFill>
            <a:srgbClr val="FF0000"/>
          </a:solidFill>
        </a:ln>
        <a:effectLst>
          <a:outerShdw blurRad="50800" dist="38100" dir="2700000" algn="tl" rotWithShape="0">
            <a:prstClr val="black">
              <a:alpha val="40000"/>
            </a:prstClr>
          </a:outerShdw>
        </a:effectLst>
      </xdr:spPr>
      <xdr:style>
        <a:lnRef idx="2">
          <a:schemeClr val="accent5"/>
        </a:lnRef>
        <a:fillRef idx="1">
          <a:schemeClr val="lt1"/>
        </a:fillRef>
        <a:effectRef idx="0">
          <a:schemeClr val="accent5"/>
        </a:effectRef>
        <a:fontRef idx="minor">
          <a:schemeClr val="dk1"/>
        </a:fontRef>
      </xdr:style>
      <xdr:txBody>
        <a:bodyPr vertOverflow="clip" horzOverflow="clip" wrap="square" rtlCol="0" anchor="t"/>
        <a:lstStyle/>
        <a:p>
          <a:r>
            <a:rPr lang="en-US" sz="1100" b="1" baseline="0"/>
            <a:t>A: Multiply the number of items by the price to get the totals in cells E12:E26. Select cells F12:F26 all at once and type an array formula using the column names "Number" and "Price" (don't forget to press ctrl+shift+enter). </a:t>
          </a:r>
        </a:p>
        <a:p>
          <a:endParaRPr lang="en-US" sz="1100" b="1" baseline="0"/>
        </a:p>
        <a:p>
          <a:r>
            <a:rPr lang="en-US" sz="1100" b="1" baseline="0"/>
            <a:t>B: Use the column E12:E26 for the Sum, Average, Max, and Min of the No Array Calculations.  Use the columns "Number" and "Price" (not F12:F26) for the Sum, Average, Max and Min of the Array Calculations. </a:t>
          </a:r>
        </a:p>
        <a:p>
          <a:endParaRPr lang="en-US" sz="1100" b="1" baseline="0"/>
        </a:p>
        <a:p>
          <a:r>
            <a:rPr lang="en-US" sz="1100" b="1" baseline="0"/>
            <a:t>C: Solve for the difference in J12:J26 by subtracting the Date1 values from the Date2 values. </a:t>
          </a:r>
        </a:p>
        <a:p>
          <a:endParaRPr lang="en-US" sz="1100" b="1" baseline="0"/>
        </a:p>
        <a:p>
          <a:r>
            <a:rPr lang="en-US" sz="1100" b="1" baseline="0"/>
            <a:t>D: Solve for the Sum, Average, Max, and Min of the difference column J12:J26 for the no array calculations. For the Array calculations use the column names "Date1" and "Date2" to find the Sum, Average, Max, and Min. Notice that you did not need an extra column to tell you the difference between the Date1 values and Date2 Values. That is the main benefit of using an array.</a:t>
          </a:r>
        </a:p>
        <a:p>
          <a:endParaRPr lang="en-US" sz="1100" b="1" baseline="0"/>
        </a:p>
        <a:p>
          <a:r>
            <a:rPr lang="en-US" sz="1100" b="1" baseline="0"/>
            <a:t>Both calculated values should be the exact same between the No Array and Array calcuations for B and D.</a:t>
          </a:r>
        </a:p>
      </xdr:txBody>
    </xdr: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9:J37"/>
  <sheetViews>
    <sheetView tabSelected="1" topLeftCell="A4" workbookViewId="0">
      <selection activeCell="A9" sqref="A9"/>
    </sheetView>
  </sheetViews>
  <sheetFormatPr defaultRowHeight="14.4" x14ac:dyDescent="0.3"/>
  <cols>
    <col min="3" max="3" width="9.6640625" bestFit="1" customWidth="1"/>
    <col min="8" max="9" width="9.6640625" bestFit="1" customWidth="1"/>
    <col min="10" max="10" width="10.44140625" bestFit="1" customWidth="1"/>
  </cols>
  <sheetData>
    <row r="9" spans="1:10" x14ac:dyDescent="0.3">
      <c r="A9" s="1" t="s">
        <v>22</v>
      </c>
    </row>
    <row r="10" spans="1:10" ht="33.6" x14ac:dyDescent="0.5">
      <c r="C10" s="18" t="s">
        <v>15</v>
      </c>
      <c r="E10" s="4" t="s">
        <v>3</v>
      </c>
      <c r="F10" s="5" t="s">
        <v>4</v>
      </c>
      <c r="H10" s="18" t="s">
        <v>17</v>
      </c>
      <c r="J10" s="4" t="s">
        <v>3</v>
      </c>
    </row>
    <row r="11" spans="1:10" x14ac:dyDescent="0.3">
      <c r="C11" s="2" t="s">
        <v>21</v>
      </c>
      <c r="D11" s="2" t="s">
        <v>0</v>
      </c>
      <c r="E11" s="2" t="s">
        <v>1</v>
      </c>
      <c r="F11" s="2" t="s">
        <v>1</v>
      </c>
      <c r="H11" s="3" t="s">
        <v>20</v>
      </c>
      <c r="I11" s="3" t="s">
        <v>19</v>
      </c>
      <c r="J11" s="3" t="s">
        <v>2</v>
      </c>
    </row>
    <row r="12" spans="1:10" x14ac:dyDescent="0.3">
      <c r="C12" s="6">
        <v>2</v>
      </c>
      <c r="D12" s="7">
        <v>22.98</v>
      </c>
      <c r="E12" s="9">
        <f>C12*D12</f>
        <v>45.96</v>
      </c>
      <c r="F12" s="8">
        <f t="array" ref="F12:F26">Number*Price</f>
        <v>45.96</v>
      </c>
      <c r="H12" s="7">
        <v>2.36</v>
      </c>
      <c r="I12" s="7">
        <v>2.4500000000000002</v>
      </c>
      <c r="J12" s="10">
        <f>I12-H12</f>
        <v>9.0000000000000302E-2</v>
      </c>
    </row>
    <row r="13" spans="1:10" x14ac:dyDescent="0.3">
      <c r="C13" s="6">
        <v>4</v>
      </c>
      <c r="D13" s="7">
        <v>1.56</v>
      </c>
      <c r="E13" s="9">
        <f t="shared" ref="E13:E26" si="0">C13*D13</f>
        <v>6.24</v>
      </c>
      <c r="F13" s="8">
        <v>6.24</v>
      </c>
      <c r="H13" s="7">
        <v>4.5599999999999996</v>
      </c>
      <c r="I13" s="7">
        <v>5.12</v>
      </c>
      <c r="J13" s="10">
        <f t="shared" ref="J13:J26" si="1">I13-H13</f>
        <v>0.5600000000000005</v>
      </c>
    </row>
    <row r="14" spans="1:10" x14ac:dyDescent="0.3">
      <c r="C14" s="6">
        <v>1</v>
      </c>
      <c r="D14" s="7">
        <v>2.29</v>
      </c>
      <c r="E14" s="9">
        <f t="shared" si="0"/>
        <v>2.29</v>
      </c>
      <c r="F14" s="8">
        <v>2.29</v>
      </c>
      <c r="H14" s="7">
        <v>2.59</v>
      </c>
      <c r="I14" s="7">
        <v>3.35</v>
      </c>
      <c r="J14" s="10">
        <f t="shared" si="1"/>
        <v>0.76000000000000023</v>
      </c>
    </row>
    <row r="15" spans="1:10" x14ac:dyDescent="0.3">
      <c r="C15" s="6">
        <v>5</v>
      </c>
      <c r="D15" s="7">
        <v>5.99</v>
      </c>
      <c r="E15" s="9">
        <f t="shared" si="0"/>
        <v>29.950000000000003</v>
      </c>
      <c r="F15" s="8">
        <v>29.950000000000003</v>
      </c>
      <c r="H15" s="7">
        <v>6.89</v>
      </c>
      <c r="I15" s="7">
        <v>7.25</v>
      </c>
      <c r="J15" s="10">
        <f t="shared" si="1"/>
        <v>0.36000000000000032</v>
      </c>
    </row>
    <row r="16" spans="1:10" x14ac:dyDescent="0.3">
      <c r="C16" s="6">
        <v>6</v>
      </c>
      <c r="D16" s="7">
        <v>1</v>
      </c>
      <c r="E16" s="9">
        <f t="shared" si="0"/>
        <v>6</v>
      </c>
      <c r="F16" s="8">
        <v>6</v>
      </c>
      <c r="H16" s="7">
        <v>3.99</v>
      </c>
      <c r="I16" s="7">
        <v>4.5599999999999996</v>
      </c>
      <c r="J16" s="10">
        <f t="shared" si="1"/>
        <v>0.5699999999999994</v>
      </c>
    </row>
    <row r="17" spans="1:10" x14ac:dyDescent="0.3">
      <c r="C17" s="6">
        <v>3</v>
      </c>
      <c r="D17" s="7">
        <v>2.36</v>
      </c>
      <c r="E17" s="9">
        <f t="shared" si="0"/>
        <v>7.08</v>
      </c>
      <c r="F17" s="8">
        <v>7.08</v>
      </c>
      <c r="H17" s="7">
        <v>7.45</v>
      </c>
      <c r="I17" s="7">
        <v>9.99</v>
      </c>
      <c r="J17" s="10">
        <f t="shared" si="1"/>
        <v>2.54</v>
      </c>
    </row>
    <row r="18" spans="1:10" x14ac:dyDescent="0.3">
      <c r="C18" s="6">
        <v>8</v>
      </c>
      <c r="D18" s="7">
        <v>5.36</v>
      </c>
      <c r="E18" s="9">
        <f t="shared" si="0"/>
        <v>42.88</v>
      </c>
      <c r="F18" s="8">
        <v>42.88</v>
      </c>
      <c r="H18" s="7">
        <v>8.75</v>
      </c>
      <c r="I18" s="7">
        <v>8.76</v>
      </c>
      <c r="J18" s="10">
        <f t="shared" si="1"/>
        <v>9.9999999999997868E-3</v>
      </c>
    </row>
    <row r="19" spans="1:10" x14ac:dyDescent="0.3">
      <c r="C19" s="6">
        <v>4</v>
      </c>
      <c r="D19" s="7">
        <v>4.25</v>
      </c>
      <c r="E19" s="9">
        <f t="shared" si="0"/>
        <v>17</v>
      </c>
      <c r="F19" s="8">
        <v>17</v>
      </c>
      <c r="H19" s="7">
        <v>1.23</v>
      </c>
      <c r="I19" s="7">
        <v>1.56</v>
      </c>
      <c r="J19" s="10">
        <f t="shared" si="1"/>
        <v>0.33000000000000007</v>
      </c>
    </row>
    <row r="20" spans="1:10" x14ac:dyDescent="0.3">
      <c r="C20" s="6">
        <v>2</v>
      </c>
      <c r="D20" s="7">
        <v>4.75</v>
      </c>
      <c r="E20" s="9">
        <f t="shared" si="0"/>
        <v>9.5</v>
      </c>
      <c r="F20" s="8">
        <v>9.5</v>
      </c>
      <c r="H20" s="7">
        <v>4.75</v>
      </c>
      <c r="I20" s="7">
        <v>4.9800000000000004</v>
      </c>
      <c r="J20" s="10">
        <f t="shared" si="1"/>
        <v>0.23000000000000043</v>
      </c>
    </row>
    <row r="21" spans="1:10" x14ac:dyDescent="0.3">
      <c r="C21" s="6">
        <v>5</v>
      </c>
      <c r="D21" s="7">
        <v>8.99</v>
      </c>
      <c r="E21" s="9">
        <f t="shared" si="0"/>
        <v>44.95</v>
      </c>
      <c r="F21" s="8">
        <v>44.95</v>
      </c>
      <c r="H21" s="7">
        <v>8.5500000000000007</v>
      </c>
      <c r="I21" s="7">
        <v>8.56</v>
      </c>
      <c r="J21" s="10">
        <f t="shared" si="1"/>
        <v>9.9999999999997868E-3</v>
      </c>
    </row>
    <row r="22" spans="1:10" x14ac:dyDescent="0.3">
      <c r="C22" s="6">
        <v>6</v>
      </c>
      <c r="D22" s="7">
        <v>15.64</v>
      </c>
      <c r="E22" s="9">
        <f t="shared" si="0"/>
        <v>93.84</v>
      </c>
      <c r="F22" s="8">
        <v>93.84</v>
      </c>
      <c r="H22" s="7">
        <v>9.5</v>
      </c>
      <c r="I22" s="7">
        <v>9.4499999999999993</v>
      </c>
      <c r="J22" s="10">
        <f t="shared" si="1"/>
        <v>-5.0000000000000711E-2</v>
      </c>
    </row>
    <row r="23" spans="1:10" x14ac:dyDescent="0.3">
      <c r="C23" s="6">
        <v>1</v>
      </c>
      <c r="D23" s="7">
        <v>9.99</v>
      </c>
      <c r="E23" s="9">
        <f t="shared" si="0"/>
        <v>9.99</v>
      </c>
      <c r="F23" s="8">
        <v>9.99</v>
      </c>
      <c r="H23" s="7">
        <v>9.99</v>
      </c>
      <c r="I23" s="7">
        <v>10</v>
      </c>
      <c r="J23" s="10">
        <f t="shared" si="1"/>
        <v>9.9999999999997868E-3</v>
      </c>
    </row>
    <row r="24" spans="1:10" x14ac:dyDescent="0.3">
      <c r="C24" s="6">
        <v>2</v>
      </c>
      <c r="D24" s="7">
        <v>1.25</v>
      </c>
      <c r="E24" s="9">
        <f t="shared" si="0"/>
        <v>2.5</v>
      </c>
      <c r="F24" s="8">
        <v>2.5</v>
      </c>
      <c r="H24" s="7">
        <v>6.75</v>
      </c>
      <c r="I24" s="7">
        <v>7</v>
      </c>
      <c r="J24" s="10">
        <f t="shared" si="1"/>
        <v>0.25</v>
      </c>
    </row>
    <row r="25" spans="1:10" x14ac:dyDescent="0.3">
      <c r="C25" s="6">
        <v>3</v>
      </c>
      <c r="D25" s="7">
        <v>4.75</v>
      </c>
      <c r="E25" s="9">
        <f t="shared" si="0"/>
        <v>14.25</v>
      </c>
      <c r="F25" s="8">
        <v>14.25</v>
      </c>
      <c r="H25" s="7">
        <v>8.94</v>
      </c>
      <c r="I25" s="7">
        <v>8.1999999999999993</v>
      </c>
      <c r="J25" s="10">
        <f t="shared" si="1"/>
        <v>-0.74000000000000021</v>
      </c>
    </row>
    <row r="26" spans="1:10" x14ac:dyDescent="0.3">
      <c r="C26" s="6">
        <v>4</v>
      </c>
      <c r="D26" s="7">
        <v>1</v>
      </c>
      <c r="E26" s="9">
        <f t="shared" si="0"/>
        <v>4</v>
      </c>
      <c r="F26" s="8">
        <v>4</v>
      </c>
      <c r="H26" s="7">
        <v>3.34</v>
      </c>
      <c r="I26" s="7">
        <v>3.78</v>
      </c>
      <c r="J26" s="10">
        <f t="shared" si="1"/>
        <v>0.43999999999999995</v>
      </c>
    </row>
    <row r="27" spans="1:10" x14ac:dyDescent="0.3">
      <c r="B27" s="19"/>
      <c r="C27" s="20"/>
      <c r="D27" s="21"/>
      <c r="E27" s="21"/>
      <c r="F27" s="21"/>
      <c r="G27" s="19"/>
      <c r="H27" s="21"/>
      <c r="I27" s="21"/>
      <c r="J27" s="22"/>
    </row>
    <row r="28" spans="1:10" ht="25.8" x14ac:dyDescent="0.5">
      <c r="C28" s="18" t="s">
        <v>16</v>
      </c>
      <c r="H28" s="18" t="s">
        <v>18</v>
      </c>
    </row>
    <row r="29" spans="1:10" x14ac:dyDescent="0.3">
      <c r="A29" s="23" t="s">
        <v>9</v>
      </c>
      <c r="B29" s="24"/>
      <c r="C29" s="11"/>
      <c r="D29" s="12" t="s">
        <v>5</v>
      </c>
      <c r="E29" s="10">
        <f>SUM(E12:E26)</f>
        <v>336.43000000000006</v>
      </c>
      <c r="F29" s="11"/>
      <c r="G29" s="11"/>
      <c r="H29" s="11"/>
      <c r="I29" s="12" t="s">
        <v>11</v>
      </c>
      <c r="J29" s="10">
        <f>SUM(J12:J26)</f>
        <v>5.3699999999999992</v>
      </c>
    </row>
    <row r="30" spans="1:10" x14ac:dyDescent="0.3">
      <c r="A30" s="25"/>
      <c r="B30" s="26"/>
      <c r="C30" s="13"/>
      <c r="D30" s="14" t="s">
        <v>6</v>
      </c>
      <c r="E30" s="10">
        <f>AVERAGE(E12:E26)</f>
        <v>22.428666666666672</v>
      </c>
      <c r="F30" s="13"/>
      <c r="G30" s="13"/>
      <c r="H30" s="13"/>
      <c r="I30" s="14" t="s">
        <v>14</v>
      </c>
      <c r="J30" s="10">
        <f>AVERAGE(J12:J26)</f>
        <v>0.35799999999999993</v>
      </c>
    </row>
    <row r="31" spans="1:10" x14ac:dyDescent="0.3">
      <c r="A31" s="25"/>
      <c r="B31" s="26"/>
      <c r="C31" s="13"/>
      <c r="D31" s="14" t="s">
        <v>7</v>
      </c>
      <c r="E31" s="10">
        <f>MAX(E12:E26)</f>
        <v>93.84</v>
      </c>
      <c r="F31" s="13"/>
      <c r="G31" s="13"/>
      <c r="H31" s="13"/>
      <c r="I31" s="14" t="s">
        <v>12</v>
      </c>
      <c r="J31" s="10">
        <f>MAX(J12:J26)</f>
        <v>2.54</v>
      </c>
    </row>
    <row r="32" spans="1:10" x14ac:dyDescent="0.3">
      <c r="A32" s="27"/>
      <c r="B32" s="28"/>
      <c r="C32" s="15"/>
      <c r="D32" s="16" t="s">
        <v>8</v>
      </c>
      <c r="E32" s="10">
        <f>MIN(E12:E26)</f>
        <v>2.29</v>
      </c>
      <c r="F32" s="15"/>
      <c r="G32" s="15"/>
      <c r="H32" s="15"/>
      <c r="I32" s="16" t="s">
        <v>13</v>
      </c>
      <c r="J32" s="10">
        <f>MIN(J12:J26)</f>
        <v>-0.74000000000000021</v>
      </c>
    </row>
    <row r="34" spans="1:10" x14ac:dyDescent="0.3">
      <c r="A34" s="23" t="s">
        <v>10</v>
      </c>
      <c r="B34" s="24"/>
      <c r="C34" s="11"/>
      <c r="D34" s="12" t="s">
        <v>5</v>
      </c>
      <c r="E34" s="17">
        <f t="array" ref="E34">SUM(Number*Price)</f>
        <v>336.43000000000006</v>
      </c>
      <c r="F34" s="11"/>
      <c r="G34" s="11"/>
      <c r="H34" s="11"/>
      <c r="I34" s="12" t="s">
        <v>11</v>
      </c>
      <c r="J34" s="17">
        <f t="array" ref="J34">SUM(Date2-Date1)</f>
        <v>5.3699999999999992</v>
      </c>
    </row>
    <row r="35" spans="1:10" x14ac:dyDescent="0.3">
      <c r="A35" s="25"/>
      <c r="B35" s="26"/>
      <c r="C35" s="13"/>
      <c r="D35" s="14" t="s">
        <v>6</v>
      </c>
      <c r="E35" s="17">
        <f t="array" ref="E35">AVERAGE(Number*Price)</f>
        <v>22.428666666666672</v>
      </c>
      <c r="F35" s="13"/>
      <c r="G35" s="13"/>
      <c r="H35" s="13"/>
      <c r="I35" s="14" t="s">
        <v>14</v>
      </c>
      <c r="J35" s="17">
        <f t="array" ref="J35">AVERAGE(Date2-Date1)</f>
        <v>0.35799999999999993</v>
      </c>
    </row>
    <row r="36" spans="1:10" x14ac:dyDescent="0.3">
      <c r="A36" s="25"/>
      <c r="B36" s="26"/>
      <c r="C36" s="13"/>
      <c r="D36" s="14" t="s">
        <v>7</v>
      </c>
      <c r="E36" s="17">
        <f t="array" ref="E36">MAX(Number*Price)</f>
        <v>93.84</v>
      </c>
      <c r="F36" s="13"/>
      <c r="G36" s="13"/>
      <c r="H36" s="13"/>
      <c r="I36" s="14" t="s">
        <v>12</v>
      </c>
      <c r="J36" s="17">
        <f t="array" ref="J36">MAX(Date2-Date1)</f>
        <v>2.54</v>
      </c>
    </row>
    <row r="37" spans="1:10" x14ac:dyDescent="0.3">
      <c r="A37" s="27"/>
      <c r="B37" s="28"/>
      <c r="C37" s="15"/>
      <c r="D37" s="16" t="s">
        <v>8</v>
      </c>
      <c r="E37" s="17">
        <f t="array" ref="E37">MIN(Number*Price)</f>
        <v>2.29</v>
      </c>
      <c r="F37" s="15"/>
      <c r="G37" s="15"/>
      <c r="H37" s="15"/>
      <c r="I37" s="16" t="s">
        <v>13</v>
      </c>
      <c r="J37" s="17">
        <f t="array" ref="J37">MIN(Date2-Date1)</f>
        <v>-0.74000000000000021</v>
      </c>
    </row>
  </sheetData>
  <mergeCells count="2">
    <mergeCell ref="A29:B32"/>
    <mergeCell ref="A34:B37"/>
  </mergeCells>
  <pageMargins left="0.7" right="0.7" top="0.75" bottom="0.75" header="0.3" footer="0.3"/>
  <pageSetup orientation="portrait" horizontalDpi="1200" verticalDpi="1200" r:id="rId1"/>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vt:i4>
      </vt:variant>
      <vt:variant>
        <vt:lpstr>Named Ranges</vt:lpstr>
      </vt:variant>
      <vt:variant>
        <vt:i4>5</vt:i4>
      </vt:variant>
    </vt:vector>
  </HeadingPairs>
  <TitlesOfParts>
    <vt:vector size="6" baseType="lpstr">
      <vt:lpstr>Sheet1</vt:lpstr>
      <vt:lpstr>Date1</vt:lpstr>
      <vt:lpstr>Date2</vt:lpstr>
      <vt:lpstr>Number</vt:lpstr>
      <vt:lpstr>Price</vt:lpstr>
      <vt:lpstr>Total</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Cameron Mark Lusvardi</dc:creator>
  <cp:lastModifiedBy>kscbr</cp:lastModifiedBy>
  <dcterms:created xsi:type="dcterms:W3CDTF">2016-07-26T22:08:35Z</dcterms:created>
  <dcterms:modified xsi:type="dcterms:W3CDTF">2021-05-19T17:36:16Z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WorkbookGuid">
    <vt:lpwstr>4a784664-8a9b-44d5-9cd0-b08de25acfbe</vt:lpwstr>
  </property>
</Properties>
</file>