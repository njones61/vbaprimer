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annotation\"/>
    </mc:Choice>
  </mc:AlternateContent>
  <xr:revisionPtr revIDLastSave="0" documentId="13_ncr:1_{81921EF0-0104-4369-B9B2-9FA7578D8905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" i="1" l="1"/>
  <c r="E16" i="1"/>
</calcChain>
</file>

<file path=xl/sharedStrings.xml><?xml version="1.0" encoding="utf-8"?>
<sst xmlns="http://schemas.openxmlformats.org/spreadsheetml/2006/main" count="28" uniqueCount="18">
  <si>
    <t>A</t>
  </si>
  <si>
    <t>B</t>
  </si>
  <si>
    <t>Specific Gravity</t>
  </si>
  <si>
    <t>Unit Weight of Water</t>
  </si>
  <si>
    <t>Void Ratio</t>
  </si>
  <si>
    <t>Unit Weight</t>
  </si>
  <si>
    <t>e</t>
  </si>
  <si>
    <r>
      <t>G</t>
    </r>
    <r>
      <rPr>
        <b/>
        <vertAlign val="subscript"/>
        <sz val="11"/>
        <color theme="1"/>
        <rFont val="Calibri"/>
        <family val="2"/>
        <scheme val="minor"/>
      </rPr>
      <t>s</t>
    </r>
  </si>
  <si>
    <r>
      <t>γ</t>
    </r>
    <r>
      <rPr>
        <b/>
        <vertAlign val="subscript"/>
        <sz val="11"/>
        <color theme="1"/>
        <rFont val="Calibri"/>
        <family val="2"/>
      </rPr>
      <t>ω</t>
    </r>
  </si>
  <si>
    <r>
      <t>γ</t>
    </r>
    <r>
      <rPr>
        <b/>
        <vertAlign val="subscript"/>
        <sz val="11"/>
        <color theme="1"/>
        <rFont val="Calibri"/>
        <family val="2"/>
      </rPr>
      <t>d</t>
    </r>
  </si>
  <si>
    <t>[lb/ft^3]</t>
  </si>
  <si>
    <t>Equations</t>
  </si>
  <si>
    <r>
      <t>γ</t>
    </r>
    <r>
      <rPr>
        <b/>
        <vertAlign val="subscript"/>
        <sz val="11"/>
        <color theme="1"/>
        <rFont val="Calibri"/>
        <family val="2"/>
      </rPr>
      <t>sat</t>
    </r>
  </si>
  <si>
    <t>Sand</t>
  </si>
  <si>
    <t>Clay</t>
  </si>
  <si>
    <t>Soil Profile</t>
  </si>
  <si>
    <t>Examples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</si>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</sst>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2" borderId="0" xfId="0" applyFill="1"/>
    <xf numFmtId="0" fontId="3" fillId="2" borderId="0" xfId="0" applyFont="1" applyFill="1" applyAlignment="1">
      <alignment horizontal="right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0" fillId="0" borderId="2" xfId="0" applyBorder="1"/>
    <xf numFmtId="0" fontId="4" fillId="0" borderId="2" xfId="0" applyFont="1" applyBorder="1"/>
    <xf numFmtId="0" fontId="3" fillId="0" borderId="2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2" fontId="2" fillId="5" borderId="1" xfId="0" applyNumberFormat="1" applyFon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0" borderId="2" xfId="0" applyFont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rgbClr val="FFC000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Unit Weight</a:t>
          </a:r>
        </a:p>
      </xdr:txBody>
    </xdr:sp>
    <xdr:clientData/>
  </xdr:twoCellAnchor>
  <xdr:twoCellAnchor>
    <xdr:from>
      <xdr:col>9</xdr:col>
      <xdr:colOff>561975</xdr:colOff>
      <xdr:row>1</xdr:row>
      <xdr:rowOff>114301</xdr:rowOff>
    </xdr:from>
    <xdr:to>
      <xdr:col>16</xdr:col>
      <xdr:colOff>504825</xdr:colOff>
      <xdr:row>9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48375" y="304801"/>
          <a:ext cx="4210050" cy="1447799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Use shapes and text boxes to create</a:t>
          </a:r>
          <a:r>
            <a:rPr lang="en-US" sz="1600" baseline="0"/>
            <a:t> a soil profile similar to the picture shown to the right. Add equations with symbols similar to those also shown to the right. Solve for the unit weights of A and B. </a:t>
          </a:r>
          <a:endParaRPr lang="en-US" sz="1600"/>
        </a:p>
      </xdr:txBody>
    </xdr:sp>
    <xdr:clientData/>
  </xdr:twoCellAnchor>
  <xdr:twoCellAnchor>
    <xdr:from>
      <xdr:col>10</xdr:col>
      <xdr:colOff>561975</xdr:colOff>
      <xdr:row>11</xdr:row>
      <xdr:rowOff>180975</xdr:rowOff>
    </xdr:from>
    <xdr:to>
      <xdr:col>15</xdr:col>
      <xdr:colOff>457200</xdr:colOff>
      <xdr:row>20</xdr:row>
      <xdr:rowOff>9525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57975" y="3419475"/>
          <a:ext cx="2943225" cy="154305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561975</xdr:colOff>
      <xdr:row>20</xdr:row>
      <xdr:rowOff>9524</xdr:rowOff>
    </xdr:from>
    <xdr:to>
      <xdr:col>15</xdr:col>
      <xdr:colOff>457200</xdr:colOff>
      <xdr:row>24</xdr:row>
      <xdr:rowOff>152399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657975" y="4962524"/>
          <a:ext cx="2943225" cy="904875"/>
        </a:xfrm>
        <a:prstGeom prst="rect">
          <a:avLst/>
        </a:prstGeom>
        <a:blipFill>
          <a:blip xmlns:r="http://schemas.openxmlformats.org/officeDocument/2006/relationships" r:embed="rId2"/>
          <a:tile tx="0" ty="0" sx="100000" sy="100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561975</xdr:colOff>
      <xdr:row>24</xdr:row>
      <xdr:rowOff>161925</xdr:rowOff>
    </xdr:from>
    <xdr:to>
      <xdr:col>15</xdr:col>
      <xdr:colOff>457200</xdr:colOff>
      <xdr:row>27</xdr:row>
      <xdr:rowOff>28575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657975" y="5876925"/>
          <a:ext cx="2943225" cy="438150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519112</xdr:colOff>
      <xdr:row>11</xdr:row>
      <xdr:rowOff>180975</xdr:rowOff>
    </xdr:from>
    <xdr:to>
      <xdr:col>17</xdr:col>
      <xdr:colOff>80962</xdr:colOff>
      <xdr:row>11</xdr:row>
      <xdr:rowOff>180975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9663112" y="3419475"/>
          <a:ext cx="7810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519112</xdr:colOff>
      <xdr:row>20</xdr:row>
      <xdr:rowOff>0</xdr:rowOff>
    </xdr:from>
    <xdr:to>
      <xdr:col>17</xdr:col>
      <xdr:colOff>80962</xdr:colOff>
      <xdr:row>20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9663112" y="4953000"/>
          <a:ext cx="7810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519112</xdr:colOff>
      <xdr:row>24</xdr:row>
      <xdr:rowOff>171450</xdr:rowOff>
    </xdr:from>
    <xdr:to>
      <xdr:col>17</xdr:col>
      <xdr:colOff>80962</xdr:colOff>
      <xdr:row>24</xdr:row>
      <xdr:rowOff>171450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9663112" y="5886450"/>
          <a:ext cx="7810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247650</xdr:colOff>
      <xdr:row>11</xdr:row>
      <xdr:rowOff>180975</xdr:rowOff>
    </xdr:from>
    <xdr:to>
      <xdr:col>16</xdr:col>
      <xdr:colOff>247650</xdr:colOff>
      <xdr:row>20</xdr:row>
      <xdr:rowOff>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10001250" y="3419475"/>
          <a:ext cx="0" cy="15335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247650</xdr:colOff>
      <xdr:row>20</xdr:row>
      <xdr:rowOff>9525</xdr:rowOff>
    </xdr:from>
    <xdr:to>
      <xdr:col>16</xdr:col>
      <xdr:colOff>247650</xdr:colOff>
      <xdr:row>24</xdr:row>
      <xdr:rowOff>171450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0001250" y="4962525"/>
          <a:ext cx="0" cy="9239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15</xdr:row>
      <xdr:rowOff>85725</xdr:rowOff>
    </xdr:from>
    <xdr:to>
      <xdr:col>18</xdr:col>
      <xdr:colOff>19050</xdr:colOff>
      <xdr:row>17</xdr:row>
      <xdr:rowOff>19050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753600" y="4248150"/>
          <a:ext cx="1238250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tx1"/>
              </a:solidFill>
            </a:rPr>
            <a:t>Sand</a:t>
          </a:r>
        </a:p>
      </xdr:txBody>
    </xdr:sp>
    <xdr:clientData/>
  </xdr:twoCellAnchor>
  <xdr:twoCellAnchor>
    <xdr:from>
      <xdr:col>15</xdr:col>
      <xdr:colOff>495300</xdr:colOff>
      <xdr:row>21</xdr:row>
      <xdr:rowOff>142875</xdr:rowOff>
    </xdr:from>
    <xdr:to>
      <xdr:col>17</xdr:col>
      <xdr:colOff>514350</xdr:colOff>
      <xdr:row>23</xdr:row>
      <xdr:rowOff>76200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9639300" y="5286375"/>
          <a:ext cx="1238250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tx1"/>
              </a:solidFill>
            </a:rPr>
            <a:t>Saturated Clay</a:t>
          </a:r>
        </a:p>
      </xdr:txBody>
    </xdr:sp>
    <xdr:clientData/>
  </xdr:twoCellAnchor>
  <xdr:twoCellAnchor>
    <xdr:from>
      <xdr:col>13</xdr:col>
      <xdr:colOff>95250</xdr:colOff>
      <xdr:row>19</xdr:row>
      <xdr:rowOff>152401</xdr:rowOff>
    </xdr:from>
    <xdr:to>
      <xdr:col>13</xdr:col>
      <xdr:colOff>219075</xdr:colOff>
      <xdr:row>20</xdr:row>
      <xdr:rowOff>76201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flipH="1" flipV="1">
          <a:off x="8020050" y="4914901"/>
          <a:ext cx="123825" cy="1143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95250</xdr:colOff>
      <xdr:row>24</xdr:row>
      <xdr:rowOff>104776</xdr:rowOff>
    </xdr:from>
    <xdr:to>
      <xdr:col>13</xdr:col>
      <xdr:colOff>219075</xdr:colOff>
      <xdr:row>25</xdr:row>
      <xdr:rowOff>28576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flipH="1" flipV="1">
          <a:off x="8020050" y="5819776"/>
          <a:ext cx="123825" cy="1143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180975</xdr:colOff>
      <xdr:row>18</xdr:row>
      <xdr:rowOff>76200</xdr:rowOff>
    </xdr:from>
    <xdr:to>
      <xdr:col>14</xdr:col>
      <xdr:colOff>47625</xdr:colOff>
      <xdr:row>20</xdr:row>
      <xdr:rowOff>133350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8105775" y="4648200"/>
          <a:ext cx="4762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FF0000"/>
              </a:solidFill>
            </a:rPr>
            <a:t>A</a:t>
          </a:r>
        </a:p>
      </xdr:txBody>
    </xdr:sp>
    <xdr:clientData/>
  </xdr:twoCellAnchor>
  <xdr:twoCellAnchor>
    <xdr:from>
      <xdr:col>13</xdr:col>
      <xdr:colOff>200025</xdr:colOff>
      <xdr:row>23</xdr:row>
      <xdr:rowOff>38100</xdr:rowOff>
    </xdr:from>
    <xdr:to>
      <xdr:col>14</xdr:col>
      <xdr:colOff>66675</xdr:colOff>
      <xdr:row>25</xdr:row>
      <xdr:rowOff>95250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124825" y="5562600"/>
          <a:ext cx="4762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FF0000"/>
              </a:solidFill>
            </a:rPr>
            <a:t>B</a:t>
          </a:r>
        </a:p>
      </xdr:txBody>
    </xdr:sp>
    <xdr:clientData/>
  </xdr:twoCellAnchor>
  <xdr:oneCellAnchor>
    <xdr:from>
      <xdr:col>7</xdr:col>
      <xdr:colOff>305141</xdr:colOff>
      <xdr:row>13</xdr:row>
      <xdr:rowOff>42862</xdr:rowOff>
    </xdr:from>
    <xdr:ext cx="1134862" cy="5250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4572341" y="3824287"/>
              <a:ext cx="1134862" cy="5250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l-GR" sz="18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l-GR" sz="1800" b="1" i="0">
                            <a:latin typeface="Cambria Math" panose="02040503050406030204" pitchFamily="18" charset="0"/>
                          </a:rPr>
                          <m:t>𝛄</m:t>
                        </m:r>
                      </m:e>
                      <m:sub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𝐝</m:t>
                        </m:r>
                      </m:sub>
                    </m:sSub>
                    <m:r>
                      <a:rPr lang="en-US" sz="1800" b="1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8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8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1" i="0">
                                <a:latin typeface="Cambria Math" panose="02040503050406030204" pitchFamily="18" charset="0"/>
                              </a:rPr>
                              <m:t>𝐆</m:t>
                            </m:r>
                          </m:e>
                          <m:sub>
                            <m:r>
                              <a:rPr lang="en-US" sz="1800" b="1" i="0">
                                <a:latin typeface="Cambria Math" panose="02040503050406030204" pitchFamily="18" charset="0"/>
                              </a:rPr>
                              <m:t>𝐬</m:t>
                            </m:r>
                          </m:sub>
                        </m:sSub>
                        <m:sSub>
                          <m:sSubPr>
                            <m:ctrlPr>
                              <a:rPr lang="en-US" sz="18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l-GR" sz="1800" b="1" i="0">
                                <a:latin typeface="Cambria Math" panose="02040503050406030204" pitchFamily="18" charset="0"/>
                              </a:rPr>
                              <m:t>𝛄</m:t>
                            </m:r>
                          </m:e>
                          <m:sub>
                            <m:r>
                              <a:rPr lang="el-GR" sz="1800" b="1" i="0">
                                <a:latin typeface="Cambria Math" panose="02040503050406030204" pitchFamily="18" charset="0"/>
                              </a:rPr>
                              <m:t>𝛚</m:t>
                            </m:r>
                          </m:sub>
                        </m:sSub>
                      </m:num>
                      <m:den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𝟏</m:t>
                        </m:r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𝐞</m:t>
                        </m:r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4572341" y="3824287"/>
              <a:ext cx="1134862" cy="5250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l-GR" sz="1800" b="1" i="0">
                  <a:latin typeface="Cambria Math" panose="02040503050406030204" pitchFamily="18" charset="0"/>
                </a:rPr>
                <a:t>𝛄_</a:t>
              </a:r>
              <a:r>
                <a:rPr lang="en-US" sz="1800" b="1" i="0">
                  <a:latin typeface="Cambria Math" panose="02040503050406030204" pitchFamily="18" charset="0"/>
                </a:rPr>
                <a:t>𝐝=(𝐆_𝐬 </a:t>
              </a:r>
              <a:r>
                <a:rPr lang="el-GR" sz="1800" b="1" i="0">
                  <a:latin typeface="Cambria Math" panose="02040503050406030204" pitchFamily="18" charset="0"/>
                </a:rPr>
                <a:t>𝛄</a:t>
              </a:r>
              <a:r>
                <a:rPr lang="en-US" sz="1800" b="1" i="0">
                  <a:latin typeface="Cambria Math" panose="02040503050406030204" pitchFamily="18" charset="0"/>
                </a:rPr>
                <a:t>_</a:t>
              </a:r>
              <a:r>
                <a:rPr lang="el-GR" sz="1800" b="1" i="0">
                  <a:latin typeface="Cambria Math" panose="02040503050406030204" pitchFamily="18" charset="0"/>
                </a:rPr>
                <a:t>𝛚</a:t>
              </a:r>
              <a:r>
                <a:rPr lang="en-US" sz="1800" b="1" i="0">
                  <a:latin typeface="Cambria Math" panose="02040503050406030204" pitchFamily="18" charset="0"/>
                </a:rPr>
                <a:t>)/(𝟏+𝐞)</a:t>
              </a:r>
              <a:endParaRPr lang="en-US" sz="1100" b="1" i="0"/>
            </a:p>
          </xdr:txBody>
        </xdr:sp>
      </mc:Fallback>
    </mc:AlternateContent>
    <xdr:clientData/>
  </xdr:oneCellAnchor>
  <xdr:oneCellAnchor>
    <xdr:from>
      <xdr:col>6</xdr:col>
      <xdr:colOff>566738</xdr:colOff>
      <xdr:row>18</xdr:row>
      <xdr:rowOff>214312</xdr:rowOff>
    </xdr:from>
    <xdr:ext cx="1839221" cy="5321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4224338" y="5053012"/>
              <a:ext cx="1839221" cy="5321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l-GR" sz="18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l-GR" sz="1800" b="1" i="0">
                            <a:latin typeface="Cambria Math" panose="02040503050406030204" pitchFamily="18" charset="0"/>
                          </a:rPr>
                          <m:t>𝛄</m:t>
                        </m:r>
                      </m:e>
                      <m:sub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𝐬𝐚𝐭</m:t>
                        </m:r>
                      </m:sub>
                    </m:sSub>
                    <m:r>
                      <a:rPr lang="en-US" sz="1800" b="1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8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n-US" sz="18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1" i="0">
                                <a:latin typeface="Cambria Math" panose="02040503050406030204" pitchFamily="18" charset="0"/>
                              </a:rPr>
                              <m:t>𝐆</m:t>
                            </m:r>
                          </m:e>
                          <m:sub>
                            <m:r>
                              <a:rPr lang="en-US" sz="1800" b="1" i="0">
                                <a:latin typeface="Cambria Math" panose="02040503050406030204" pitchFamily="18" charset="0"/>
                              </a:rPr>
                              <m:t>𝐬</m:t>
                            </m:r>
                          </m:sub>
                        </m:sSub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𝐞</m:t>
                        </m:r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)</m:t>
                        </m:r>
                        <m:sSub>
                          <m:sSubPr>
                            <m:ctrlPr>
                              <a:rPr lang="en-US" sz="18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l-GR" sz="1800" b="1" i="0">
                                <a:latin typeface="Cambria Math" panose="02040503050406030204" pitchFamily="18" charset="0"/>
                              </a:rPr>
                              <m:t>𝛄</m:t>
                            </m:r>
                          </m:e>
                          <m:sub>
                            <m:r>
                              <a:rPr lang="el-GR" sz="1800" b="1" i="0">
                                <a:latin typeface="Cambria Math" panose="02040503050406030204" pitchFamily="18" charset="0"/>
                              </a:rPr>
                              <m:t>𝛚</m:t>
                            </m:r>
                          </m:sub>
                        </m:sSub>
                      </m:num>
                      <m:den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𝟏</m:t>
                        </m:r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𝐞</m:t>
                        </m:r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4224338" y="5053012"/>
              <a:ext cx="1839221" cy="5321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l-GR" sz="1800" b="1" i="0">
                  <a:latin typeface="Cambria Math" panose="02040503050406030204" pitchFamily="18" charset="0"/>
                </a:rPr>
                <a:t>𝛄_</a:t>
              </a:r>
              <a:r>
                <a:rPr lang="en-US" sz="1800" b="1" i="0">
                  <a:latin typeface="Cambria Math" panose="02040503050406030204" pitchFamily="18" charset="0"/>
                </a:rPr>
                <a:t>𝐬𝐚𝐭=((𝐆_𝐬+𝐞)</a:t>
              </a:r>
              <a:r>
                <a:rPr lang="el-GR" sz="1800" b="1" i="0">
                  <a:latin typeface="Cambria Math" panose="02040503050406030204" pitchFamily="18" charset="0"/>
                </a:rPr>
                <a:t>𝛄</a:t>
              </a:r>
              <a:r>
                <a:rPr lang="en-US" sz="1800" b="1" i="0">
                  <a:latin typeface="Cambria Math" panose="02040503050406030204" pitchFamily="18" charset="0"/>
                </a:rPr>
                <a:t>_</a:t>
              </a:r>
              <a:r>
                <a:rPr lang="el-GR" sz="1800" b="1" i="0">
                  <a:latin typeface="Cambria Math" panose="02040503050406030204" pitchFamily="18" charset="0"/>
                </a:rPr>
                <a:t>𝛚</a:t>
              </a:r>
              <a:r>
                <a:rPr lang="en-US" sz="1800" b="1" i="0">
                  <a:latin typeface="Cambria Math" panose="02040503050406030204" pitchFamily="18" charset="0"/>
                </a:rPr>
                <a:t>)/(𝟏+𝐞)</a:t>
              </a:r>
              <a:endParaRPr lang="en-US" sz="1100" b="1" i="0"/>
            </a:p>
          </xdr:txBody>
        </xdr:sp>
      </mc:Fallback>
    </mc:AlternateContent>
    <xdr:clientData/>
  </xdr:oneCellAnchor>
  <xdr:twoCellAnchor editAs="oneCell">
    <xdr:from>
      <xdr:col>18</xdr:col>
      <xdr:colOff>533400</xdr:colOff>
      <xdr:row>11</xdr:row>
      <xdr:rowOff>66675</xdr:rowOff>
    </xdr:from>
    <xdr:to>
      <xdr:col>29</xdr:col>
      <xdr:colOff>446848</xdr:colOff>
      <xdr:row>28</xdr:row>
      <xdr:rowOff>18614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06200" y="2247900"/>
          <a:ext cx="6619048" cy="3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AB23"/>
  <sheetViews>
    <sheetView showGridLines="0" tabSelected="1" workbookViewId="0">
      <selection activeCell="A9" sqref="A9"/>
    </sheetView>
  </sheetViews>
  <sheetFormatPr defaultRowHeight="14.4" x14ac:dyDescent="0.3"/>
  <sheetData>
    <row r="9" spans="1:28" x14ac:dyDescent="0.3">
      <c r="A9" s="1" t="s">
        <v>17</v>
      </c>
    </row>
    <row r="11" spans="1:28" ht="21.6" thickBot="1" x14ac:dyDescent="0.45">
      <c r="A11" s="10"/>
      <c r="B11" s="10"/>
      <c r="C11" s="11" t="s">
        <v>0</v>
      </c>
      <c r="D11" s="10"/>
      <c r="E11" s="12" t="s">
        <v>13</v>
      </c>
      <c r="H11" s="17" t="s">
        <v>11</v>
      </c>
      <c r="I11" s="18"/>
      <c r="J11" s="18"/>
      <c r="L11" s="10"/>
      <c r="M11" s="17" t="s">
        <v>15</v>
      </c>
      <c r="N11" s="18"/>
      <c r="O11" s="18"/>
      <c r="P11" s="10"/>
      <c r="T11" s="10"/>
      <c r="U11" s="10"/>
      <c r="V11" s="19" t="s">
        <v>16</v>
      </c>
      <c r="W11" s="19"/>
      <c r="X11" s="19"/>
      <c r="Y11" s="19"/>
      <c r="Z11" s="19"/>
      <c r="AA11" s="10"/>
      <c r="AB11" s="10"/>
    </row>
    <row r="12" spans="1:28" ht="15.6" x14ac:dyDescent="0.35">
      <c r="A12" s="8"/>
      <c r="B12" s="8"/>
      <c r="C12" s="9" t="s">
        <v>2</v>
      </c>
      <c r="D12" s="4" t="s">
        <v>7</v>
      </c>
      <c r="E12" s="13">
        <v>2.65</v>
      </c>
    </row>
    <row r="13" spans="1:28" ht="15.6" x14ac:dyDescent="0.35">
      <c r="A13" s="8"/>
      <c r="B13" s="8"/>
      <c r="C13" s="9" t="s">
        <v>3</v>
      </c>
      <c r="D13" s="5" t="s">
        <v>8</v>
      </c>
      <c r="E13" s="14">
        <v>62.4</v>
      </c>
      <c r="F13" s="3" t="s">
        <v>10</v>
      </c>
    </row>
    <row r="14" spans="1:28" x14ac:dyDescent="0.3">
      <c r="A14" s="8"/>
      <c r="B14" s="8"/>
      <c r="C14" s="9" t="s">
        <v>4</v>
      </c>
      <c r="D14" s="4" t="s">
        <v>6</v>
      </c>
      <c r="E14" s="14">
        <v>0.5</v>
      </c>
      <c r="F14" s="3"/>
    </row>
    <row r="15" spans="1:28" x14ac:dyDescent="0.3">
      <c r="C15" s="2"/>
      <c r="D15" s="4"/>
      <c r="E15" s="3"/>
      <c r="F15" s="3"/>
    </row>
    <row r="16" spans="1:28" ht="15.6" x14ac:dyDescent="0.35">
      <c r="A16" s="6"/>
      <c r="B16" s="6"/>
      <c r="C16" s="7" t="s">
        <v>5</v>
      </c>
      <c r="D16" s="5" t="s">
        <v>9</v>
      </c>
      <c r="E16" s="15">
        <f>(E12*E13)/(1+E14)</f>
        <v>110.24</v>
      </c>
      <c r="F16" s="3" t="s">
        <v>10</v>
      </c>
    </row>
    <row r="17" spans="1:6" x14ac:dyDescent="0.3">
      <c r="D17" s="4"/>
      <c r="E17" s="3"/>
      <c r="F17" s="3"/>
    </row>
    <row r="18" spans="1:6" ht="20.399999999999999" thickBot="1" x14ac:dyDescent="0.45">
      <c r="A18" s="10"/>
      <c r="B18" s="10"/>
      <c r="C18" s="11" t="s">
        <v>1</v>
      </c>
      <c r="D18" s="12"/>
      <c r="E18" s="12" t="s">
        <v>14</v>
      </c>
      <c r="F18" s="3"/>
    </row>
    <row r="19" spans="1:6" ht="15.6" x14ac:dyDescent="0.35">
      <c r="A19" s="8"/>
      <c r="B19" s="8"/>
      <c r="C19" s="9" t="s">
        <v>2</v>
      </c>
      <c r="D19" s="4" t="s">
        <v>7</v>
      </c>
      <c r="E19" s="13">
        <v>2.71</v>
      </c>
      <c r="F19" s="3"/>
    </row>
    <row r="20" spans="1:6" ht="15.6" x14ac:dyDescent="0.35">
      <c r="A20" s="8"/>
      <c r="B20" s="8"/>
      <c r="C20" s="9" t="s">
        <v>3</v>
      </c>
      <c r="D20" s="5" t="s">
        <v>8</v>
      </c>
      <c r="E20" s="14">
        <v>62.4</v>
      </c>
      <c r="F20" s="3" t="s">
        <v>10</v>
      </c>
    </row>
    <row r="21" spans="1:6" x14ac:dyDescent="0.3">
      <c r="A21" s="8"/>
      <c r="B21" s="8"/>
      <c r="C21" s="9" t="s">
        <v>4</v>
      </c>
      <c r="D21" s="4" t="s">
        <v>6</v>
      </c>
      <c r="E21" s="16">
        <v>1.1382000000000001</v>
      </c>
      <c r="F21" s="3"/>
    </row>
    <row r="22" spans="1:6" x14ac:dyDescent="0.3">
      <c r="C22" s="2"/>
      <c r="D22" s="4"/>
      <c r="E22" s="3"/>
      <c r="F22" s="3"/>
    </row>
    <row r="23" spans="1:6" ht="15.6" x14ac:dyDescent="0.35">
      <c r="A23" s="6"/>
      <c r="B23" s="6"/>
      <c r="C23" s="7" t="s">
        <v>5</v>
      </c>
      <c r="D23" s="5" t="s">
        <v>12</v>
      </c>
      <c r="E23" s="15">
        <f>((E19+E21)*E20)/(1+E21)</f>
        <v>112.30365728182583</v>
      </c>
      <c r="F23" s="3" t="s">
        <v>10</v>
      </c>
    </row>
  </sheetData>
  <mergeCells count="3">
    <mergeCell ref="H11:J11"/>
    <mergeCell ref="M11:O11"/>
    <mergeCell ref="V11:Z11"/>
  </mergeCell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2021-05-19T17:34:08Z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