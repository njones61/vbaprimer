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formulas\"/>
    </mc:Choice>
  </mc:AlternateContent>
  <xr:revisionPtr revIDLastSave="0" documentId="13_ncr:1_{F9798B77-B328-473F-AFF8-7C0D2A06C1C4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1" l="1"/>
  <c r="E21" i="1"/>
  <c r="D21" i="1"/>
  <c r="C21" i="1"/>
  <c r="B21" i="1"/>
  <c r="F8" i="1"/>
  <c r="F9" i="1"/>
  <c r="F10" i="1"/>
  <c r="F11" i="1"/>
  <c r="F12" i="1"/>
  <c r="F13" i="1"/>
  <c r="F14" i="1"/>
  <c r="F15" i="1"/>
  <c r="F16" i="1"/>
  <c r="F17" i="1"/>
  <c r="F18" i="1"/>
  <c r="F7" i="1"/>
  <c r="F21" i="1" l="1"/>
</calcChain>
</file>

<file path=xl/sharedStrings.xml><?xml version="1.0" encoding="utf-8"?>
<sst xmlns="http://schemas.openxmlformats.org/spreadsheetml/2006/main" count="31" uniqueCount="30">
  <si>
    <t>Employee ID</t>
  </si>
  <si>
    <t>Name</t>
  </si>
  <si>
    <t>Birthday</t>
  </si>
  <si>
    <t>Hourly Wage</t>
  </si>
  <si>
    <t>Hours per Week</t>
  </si>
  <si>
    <t>Weeks Pay</t>
  </si>
  <si>
    <t>James Mitton</t>
  </si>
  <si>
    <t>Shayla Frankie</t>
  </si>
  <si>
    <t>Courtney Leon</t>
  </si>
  <si>
    <t>Dave Andrews</t>
  </si>
  <si>
    <t>Lily Cape</t>
  </si>
  <si>
    <t>Russel Deloy</t>
  </si>
  <si>
    <t>Grant Smith</t>
  </si>
  <si>
    <t>William Kent</t>
  </si>
  <si>
    <t>Sarah Bon</t>
  </si>
  <si>
    <t>Clarissa Edwards</t>
  </si>
  <si>
    <t>Brian Mathews</t>
  </si>
  <si>
    <t>Number of Employees</t>
  </si>
  <si>
    <t>Total</t>
  </si>
  <si>
    <t>Max</t>
  </si>
  <si>
    <t>Average</t>
  </si>
  <si>
    <t>My ID</t>
  </si>
  <si>
    <t>My Name</t>
  </si>
  <si>
    <t>My Birthday</t>
  </si>
  <si>
    <t>My Wage</t>
  </si>
  <si>
    <t>My Hours</t>
  </si>
  <si>
    <t>My Pay</t>
  </si>
  <si>
    <t>First Birthday of the Year</t>
  </si>
  <si>
    <t>Frank Sinatra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</si>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</sst>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1" xfId="0" applyFill="1" applyBorder="1"/>
    <xf numFmtId="0" fontId="1" fillId="3" borderId="1" xfId="0" applyFont="1" applyFill="1" applyBorder="1" applyAlignment="1">
      <alignment horizontal="center"/>
    </xf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center"/>
    </xf>
    <xf numFmtId="16" fontId="1" fillId="5" borderId="1" xfId="0" applyNumberFormat="1" applyFont="1" applyFill="1" applyBorder="1" applyAlignment="1">
      <alignment horizontal="center"/>
    </xf>
    <xf numFmtId="0" fontId="2" fillId="0" borderId="0" xfId="0" applyFont="1"/>
    <xf numFmtId="49" fontId="0" fillId="2" borderId="1" xfId="0" applyNumberFormat="1" applyFill="1" applyBorder="1"/>
    <xf numFmtId="164" fontId="0" fillId="0" borderId="0" xfId="0" applyNumberFormat="1"/>
    <xf numFmtId="165" fontId="0" fillId="2" borderId="1" xfId="0" applyNumberFormat="1" applyFill="1" applyBorder="1"/>
    <xf numFmtId="0" fontId="0" fillId="4" borderId="1" xfId="0" applyFont="1" applyFill="1" applyBorder="1" applyAlignment="1">
      <alignment horizontal="center"/>
    </xf>
    <xf numFmtId="164" fontId="0" fillId="4" borderId="1" xfId="0" applyNumberFormat="1" applyFont="1" applyFill="1" applyBorder="1" applyAlignment="1">
      <alignment horizontal="center"/>
    </xf>
    <xf numFmtId="165" fontId="0" fillId="4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0</xdr:row>
      <xdr:rowOff>95251</xdr:rowOff>
    </xdr:from>
    <xdr:to>
      <xdr:col>2</xdr:col>
      <xdr:colOff>1476375</xdr:colOff>
      <xdr:row>3</xdr:row>
      <xdr:rowOff>133351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33351" y="95251"/>
          <a:ext cx="3552824" cy="609600"/>
        </a:xfrm>
        <a:prstGeom prst="rect">
          <a:avLst/>
        </a:prstGeom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3200"/>
            <a:t>Employee Database</a:t>
          </a:r>
        </a:p>
      </xdr:txBody>
    </xdr:sp>
    <xdr:clientData/>
  </xdr:twoCellAnchor>
  <xdr:twoCellAnchor>
    <xdr:from>
      <xdr:col>6</xdr:col>
      <xdr:colOff>85723</xdr:colOff>
      <xdr:row>0</xdr:row>
      <xdr:rowOff>38099</xdr:rowOff>
    </xdr:from>
    <xdr:to>
      <xdr:col>13</xdr:col>
      <xdr:colOff>200025</xdr:colOff>
      <xdr:row>29</xdr:row>
      <xdr:rowOff>66674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734173" y="38099"/>
          <a:ext cx="4381502" cy="5553075"/>
        </a:xfrm>
        <a:prstGeom prst="rect">
          <a:avLst/>
        </a:prstGeom>
        <a:ln>
          <a:solidFill>
            <a:schemeClr val="accent3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1: </a:t>
          </a:r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Type 1408 into cell A8. Select cells A7:A8 and drag the green box down the table. 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2:  Select C7:C18 and under the Home Tab above change the formatting from Date to Long Date. 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3: Select D7:D18 and change the formatting to currency.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4: Type a formula into F7 to compute the weeks pay. This should be the Hourly Wage times Hours per Week. Drag the formula down the column to F18.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6:  Fill in Row 18 with you own name, Birthday (i.e. 5 - jun), estimated wage and hours. Copy the values on row 18 to row 25 using Copy (ctrl+c) and Paste (ctrl+v). 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7:  Enter a CountA function (=countA(...)) under Number of Employees and select the names column.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8:  Enter a Min function under the First Birthday of the Year and select the column of birthday values from above. 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9:  Enter a Max function under Max and select the Hourly Wage data to determine the maximum hourly wage.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10:  Enter an Average Function under Averag and select the Hours per Week data to determine the average hours worked per week.</a:t>
          </a:r>
        </a:p>
        <a:p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  <a:p>
          <a:r>
            <a:rPr lang="en-US" sz="1100" b="1" baseline="0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Step 11:  Enter a Sum function under Total to determine the total weeks pay out for all the listed employees from the given Weeks Pay data.</a:t>
          </a:r>
          <a:endParaRPr lang="en-US" sz="1200" b="1">
            <a:solidFill>
              <a:schemeClr val="accent1">
                <a:lumMod val="50000"/>
              </a:schemeClr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"/>
  <sheetViews>
    <sheetView showGridLines="0" tabSelected="1" workbookViewId="0">
      <selection activeCell="D4" sqref="D4"/>
    </sheetView>
  </sheetViews>
  <sheetFormatPr defaultRowHeight="14.4" x14ac:dyDescent="0.3"/>
  <cols>
    <col min="1" max="1" width="12.109375" bestFit="1" customWidth="1"/>
    <col min="2" max="2" width="21" bestFit="1" customWidth="1"/>
    <col min="3" max="3" width="27.109375" bestFit="1" customWidth="1"/>
    <col min="4" max="4" width="13.33203125" customWidth="1"/>
    <col min="5" max="5" width="15.44140625" bestFit="1" customWidth="1"/>
    <col min="6" max="6" width="10.6640625" bestFit="1" customWidth="1"/>
  </cols>
  <sheetData>
    <row r="1" spans="1:6" x14ac:dyDescent="0.3">
      <c r="D1" s="8"/>
    </row>
    <row r="4" spans="1:6" x14ac:dyDescent="0.3">
      <c r="D4" s="6" t="s">
        <v>29</v>
      </c>
    </row>
    <row r="6" spans="1:6" x14ac:dyDescent="0.3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</row>
    <row r="7" spans="1:6" x14ac:dyDescent="0.3">
      <c r="A7" s="1">
        <v>1407</v>
      </c>
      <c r="B7" s="7" t="s">
        <v>6</v>
      </c>
      <c r="C7" s="3">
        <v>42526</v>
      </c>
      <c r="D7" s="9">
        <v>12.5</v>
      </c>
      <c r="E7" s="1">
        <v>20</v>
      </c>
      <c r="F7" s="9">
        <f>E7*D7</f>
        <v>250</v>
      </c>
    </row>
    <row r="8" spans="1:6" x14ac:dyDescent="0.3">
      <c r="A8" s="1">
        <v>1408</v>
      </c>
      <c r="B8" s="1" t="s">
        <v>7</v>
      </c>
      <c r="C8" s="3">
        <v>42461</v>
      </c>
      <c r="D8" s="9">
        <v>13</v>
      </c>
      <c r="E8" s="1">
        <v>25</v>
      </c>
      <c r="F8" s="9">
        <f t="shared" ref="F8:F18" si="0">E8*D8</f>
        <v>325</v>
      </c>
    </row>
    <row r="9" spans="1:6" x14ac:dyDescent="0.3">
      <c r="A9" s="1">
        <v>1409</v>
      </c>
      <c r="B9" s="1" t="s">
        <v>8</v>
      </c>
      <c r="C9" s="3">
        <v>42709</v>
      </c>
      <c r="D9" s="9">
        <v>20</v>
      </c>
      <c r="E9" s="1">
        <v>30</v>
      </c>
      <c r="F9" s="9">
        <f t="shared" si="0"/>
        <v>600</v>
      </c>
    </row>
    <row r="10" spans="1:6" x14ac:dyDescent="0.3">
      <c r="A10" s="1">
        <v>1410</v>
      </c>
      <c r="B10" s="1" t="s">
        <v>9</v>
      </c>
      <c r="C10" s="3">
        <v>42586</v>
      </c>
      <c r="D10" s="9">
        <v>9</v>
      </c>
      <c r="E10" s="1">
        <v>21</v>
      </c>
      <c r="F10" s="9">
        <f t="shared" si="0"/>
        <v>189</v>
      </c>
    </row>
    <row r="11" spans="1:6" x14ac:dyDescent="0.3">
      <c r="A11" s="1">
        <v>1411</v>
      </c>
      <c r="B11" s="1" t="s">
        <v>10</v>
      </c>
      <c r="C11" s="3">
        <v>42446</v>
      </c>
      <c r="D11" s="9">
        <v>11</v>
      </c>
      <c r="E11" s="1">
        <v>25</v>
      </c>
      <c r="F11" s="9">
        <f t="shared" si="0"/>
        <v>275</v>
      </c>
    </row>
    <row r="12" spans="1:6" x14ac:dyDescent="0.3">
      <c r="A12" s="1">
        <v>1412</v>
      </c>
      <c r="B12" s="1" t="s">
        <v>11</v>
      </c>
      <c r="C12" s="3">
        <v>42431</v>
      </c>
      <c r="D12" s="9">
        <v>9</v>
      </c>
      <c r="E12" s="1">
        <v>26</v>
      </c>
      <c r="F12" s="9">
        <f t="shared" si="0"/>
        <v>234</v>
      </c>
    </row>
    <row r="13" spans="1:6" x14ac:dyDescent="0.3">
      <c r="A13" s="1">
        <v>1413</v>
      </c>
      <c r="B13" s="1" t="s">
        <v>12</v>
      </c>
      <c r="C13" s="3">
        <v>42619</v>
      </c>
      <c r="D13" s="9">
        <v>12.5</v>
      </c>
      <c r="E13" s="1">
        <v>34</v>
      </c>
      <c r="F13" s="9">
        <f t="shared" si="0"/>
        <v>425</v>
      </c>
    </row>
    <row r="14" spans="1:6" x14ac:dyDescent="0.3">
      <c r="A14" s="1">
        <v>1414</v>
      </c>
      <c r="B14" s="1" t="s">
        <v>13</v>
      </c>
      <c r="C14" s="3">
        <v>42430</v>
      </c>
      <c r="D14" s="9">
        <v>11</v>
      </c>
      <c r="E14" s="1">
        <v>22</v>
      </c>
      <c r="F14" s="9">
        <f t="shared" si="0"/>
        <v>242</v>
      </c>
    </row>
    <row r="15" spans="1:6" x14ac:dyDescent="0.3">
      <c r="A15" s="1">
        <v>1415</v>
      </c>
      <c r="B15" s="1" t="s">
        <v>14</v>
      </c>
      <c r="C15" s="3">
        <v>42724</v>
      </c>
      <c r="D15" s="9">
        <v>11.5</v>
      </c>
      <c r="E15" s="1">
        <v>38</v>
      </c>
      <c r="F15" s="9">
        <f t="shared" si="0"/>
        <v>437</v>
      </c>
    </row>
    <row r="16" spans="1:6" x14ac:dyDescent="0.3">
      <c r="A16" s="1">
        <v>1416</v>
      </c>
      <c r="B16" s="1" t="s">
        <v>15</v>
      </c>
      <c r="C16" s="3">
        <v>42580</v>
      </c>
      <c r="D16" s="9">
        <v>12</v>
      </c>
      <c r="E16" s="1">
        <v>37</v>
      </c>
      <c r="F16" s="9">
        <f t="shared" si="0"/>
        <v>444</v>
      </c>
    </row>
    <row r="17" spans="1:6" x14ac:dyDescent="0.3">
      <c r="A17" s="1">
        <v>1417</v>
      </c>
      <c r="B17" s="1" t="s">
        <v>16</v>
      </c>
      <c r="C17" s="3">
        <v>42412</v>
      </c>
      <c r="D17" s="9">
        <v>11</v>
      </c>
      <c r="E17" s="1">
        <v>15</v>
      </c>
      <c r="F17" s="9">
        <f t="shared" si="0"/>
        <v>165</v>
      </c>
    </row>
    <row r="18" spans="1:6" x14ac:dyDescent="0.3">
      <c r="A18" s="1">
        <v>1418</v>
      </c>
      <c r="B18" s="1" t="s">
        <v>28</v>
      </c>
      <c r="C18" s="3">
        <v>42556</v>
      </c>
      <c r="D18" s="9">
        <v>24</v>
      </c>
      <c r="E18" s="1">
        <v>40</v>
      </c>
      <c r="F18" s="9">
        <f t="shared" si="0"/>
        <v>960</v>
      </c>
    </row>
    <row r="20" spans="1:6" x14ac:dyDescent="0.3">
      <c r="B20" s="4" t="s">
        <v>17</v>
      </c>
      <c r="C20" s="5" t="s">
        <v>27</v>
      </c>
      <c r="D20" s="4" t="s">
        <v>19</v>
      </c>
      <c r="E20" s="4" t="s">
        <v>20</v>
      </c>
      <c r="F20" s="4" t="s">
        <v>18</v>
      </c>
    </row>
    <row r="21" spans="1:6" x14ac:dyDescent="0.3">
      <c r="B21" s="10">
        <f>COUNTA(B7:B18)</f>
        <v>12</v>
      </c>
      <c r="C21" s="11">
        <f>MIN(C7:C18)</f>
        <v>42412</v>
      </c>
      <c r="D21" s="12">
        <f>MAX(D7:D18)</f>
        <v>24</v>
      </c>
      <c r="E21" s="10">
        <f>AVERAGE(E7:E18)</f>
        <v>27.75</v>
      </c>
      <c r="F21" s="12">
        <f>SUM(F7:F18)</f>
        <v>4546</v>
      </c>
    </row>
    <row r="24" spans="1:6" x14ac:dyDescent="0.3">
      <c r="A24" s="2" t="s">
        <v>21</v>
      </c>
      <c r="B24" s="2" t="s">
        <v>22</v>
      </c>
      <c r="C24" s="2" t="s">
        <v>23</v>
      </c>
      <c r="D24" s="2" t="s">
        <v>24</v>
      </c>
      <c r="E24" s="2" t="s">
        <v>25</v>
      </c>
      <c r="F24" s="2" t="s">
        <v>26</v>
      </c>
    </row>
    <row r="25" spans="1:6" x14ac:dyDescent="0.3">
      <c r="A25" s="1">
        <v>1418</v>
      </c>
      <c r="B25" s="1" t="s">
        <v>28</v>
      </c>
      <c r="C25" s="3">
        <v>42556</v>
      </c>
      <c r="D25" s="9">
        <v>24</v>
      </c>
      <c r="E25" s="1">
        <v>40</v>
      </c>
      <c r="F25" s="9">
        <f t="shared" ref="F25" si="1">E25*D25</f>
        <v>960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2016-04-28T21:00:39Z</dcterms:created>
  <dcterms:modified xsi:type="dcterms:W3CDTF">2021-05-19T17:15:18Z</dcterms:modified>
</cp:coreProperties>
</file>