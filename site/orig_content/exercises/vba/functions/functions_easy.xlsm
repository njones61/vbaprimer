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ercises\vba\functions\"/>
    </mc:Choice>
  </mc:AlternateContent>
  <xr:revisionPtr revIDLastSave="0" documentId="13_ncr:1_{B02368CB-B4C2-482C-BFB7-9FA895E47401}"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3" i="1" l="1"/>
  <c r="H14" i="1"/>
  <c r="H15" i="1"/>
  <c r="H16" i="1"/>
  <c r="H17" i="1"/>
  <c r="H30" i="1"/>
  <c r="H31" i="1"/>
  <c r="H32" i="1"/>
  <c r="H33" i="1"/>
  <c r="H34" i="1"/>
  <c r="H35" i="1"/>
  <c r="H36" i="1"/>
  <c r="H12" i="1"/>
  <c r="F13" i="1"/>
  <c r="F14" i="1"/>
  <c r="F15" i="1"/>
  <c r="F16" i="1"/>
  <c r="F17" i="1"/>
  <c r="F18" i="1"/>
  <c r="F19" i="1"/>
  <c r="F20" i="1"/>
  <c r="F21" i="1"/>
  <c r="F22" i="1"/>
  <c r="F23" i="1"/>
  <c r="F24" i="1"/>
  <c r="F25" i="1"/>
  <c r="F26" i="1"/>
  <c r="F27" i="1"/>
  <c r="F28" i="1"/>
  <c r="F29" i="1"/>
  <c r="F30" i="1"/>
  <c r="F31" i="1"/>
  <c r="F32" i="1"/>
  <c r="F33" i="1"/>
  <c r="F34" i="1"/>
  <c r="F35" i="1"/>
  <c r="F36" i="1"/>
  <c r="F12" i="1"/>
  <c r="D13" i="1"/>
  <c r="G13" i="1" s="1"/>
  <c r="D14" i="1"/>
  <c r="G14" i="1" s="1"/>
  <c r="D15" i="1"/>
  <c r="G15" i="1" s="1"/>
  <c r="D16" i="1"/>
  <c r="G16" i="1" s="1"/>
  <c r="D17" i="1"/>
  <c r="G17" i="1" s="1"/>
  <c r="D18" i="1"/>
  <c r="E18" i="1" s="1"/>
  <c r="H18" i="1" s="1"/>
  <c r="D19" i="1"/>
  <c r="G19" i="1" s="1"/>
  <c r="D20" i="1"/>
  <c r="G20" i="1" s="1"/>
  <c r="D21" i="1"/>
  <c r="G21" i="1" s="1"/>
  <c r="D22" i="1"/>
  <c r="E22" i="1" s="1"/>
  <c r="H22" i="1" s="1"/>
  <c r="D23" i="1"/>
  <c r="G23" i="1" s="1"/>
  <c r="D24" i="1"/>
  <c r="G24" i="1" s="1"/>
  <c r="D25" i="1"/>
  <c r="E25" i="1" s="1"/>
  <c r="H25" i="1" s="1"/>
  <c r="D26" i="1"/>
  <c r="E26" i="1" s="1"/>
  <c r="H26" i="1" s="1"/>
  <c r="D27" i="1"/>
  <c r="G27" i="1" s="1"/>
  <c r="D28" i="1"/>
  <c r="G28" i="1" s="1"/>
  <c r="D29" i="1"/>
  <c r="G29" i="1" s="1"/>
  <c r="D30" i="1"/>
  <c r="G30" i="1" s="1"/>
  <c r="D31" i="1"/>
  <c r="G31" i="1" s="1"/>
  <c r="D32" i="1"/>
  <c r="G32" i="1" s="1"/>
  <c r="D33" i="1"/>
  <c r="G33" i="1" s="1"/>
  <c r="D34" i="1"/>
  <c r="G34" i="1" s="1"/>
  <c r="D35" i="1"/>
  <c r="G35" i="1" s="1"/>
  <c r="D36" i="1"/>
  <c r="G36" i="1" s="1"/>
  <c r="D12" i="1"/>
  <c r="G12" i="1" s="1"/>
  <c r="G25" i="1" l="1"/>
  <c r="G18" i="1"/>
  <c r="E21" i="1"/>
  <c r="H21" i="1" s="1"/>
  <c r="G26" i="1"/>
  <c r="G22" i="1"/>
  <c r="E29" i="1"/>
  <c r="H29" i="1" s="1"/>
  <c r="E28" i="1"/>
  <c r="H28" i="1" s="1"/>
  <c r="E24" i="1"/>
  <c r="H24" i="1" s="1"/>
  <c r="E20" i="1"/>
  <c r="H20" i="1" s="1"/>
  <c r="E27" i="1"/>
  <c r="H27" i="1" s="1"/>
  <c r="E23" i="1"/>
  <c r="H23" i="1" s="1"/>
  <c r="E19" i="1"/>
  <c r="H19" i="1" s="1"/>
</calcChain>
</file>

<file path=xl/sharedStrings.xml><?xml version="1.0" encoding="utf-8"?>
<sst xmlns="http://schemas.openxmlformats.org/spreadsheetml/2006/main" count="5" uniqueCount="5">
  <si>
    <t>Load (kips)</t>
  </si>
  <si>
    <t>Time (sec)</t>
  </si>
  <si>
    <t>Excess Load:</t>
  </si>
  <si>
    <t>Correct Ans: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</si>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</sst>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7">
    <xf numFmtId="0" fontId="0" fillId="0" borderId="0" xfId="0"/>
    <xf numFmtId="0" fontId="1" fillId="0" borderId="0" xfId="0" applyFont="1"/>
    <xf numFmtId="0" fontId="0" fillId="0" borderId="0" xfId="0" applyAlignment="1">
      <alignment horizontal="center"/>
    </xf>
    <xf numFmtId="0" fontId="2" fillId="3" borderId="0" xfId="0" applyFont="1" applyFill="1" applyAlignment="1">
      <alignment horizontal="center" wrapText="1"/>
    </xf>
    <xf numFmtId="0" fontId="0" fillId="0" borderId="1" xfId="0" applyBorder="1"/>
    <xf numFmtId="0" fontId="0" fillId="0" borderId="2" xfId="0"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 fillId="0" borderId="0" xfId="0" applyFont="1" applyAlignment="1">
      <alignment horizontal="right"/>
    </xf>
    <xf numFmtId="0" fontId="0" fillId="4" borderId="1" xfId="0" applyFill="1" applyBorder="1" applyAlignment="1">
      <alignment horizontal="center"/>
    </xf>
    <xf numFmtId="0" fontId="2" fillId="2"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1">
            <a:lumMod val="85000"/>
            <a:lumOff val="15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Functions</a:t>
          </a:r>
        </a:p>
      </xdr:txBody>
    </xdr:sp>
    <xdr:clientData/>
  </xdr:twoCellAnchor>
  <xdr:twoCellAnchor>
    <xdr:from>
      <xdr:col>8</xdr:col>
      <xdr:colOff>228600</xdr:colOff>
      <xdr:row>8</xdr:row>
      <xdr:rowOff>180975</xdr:rowOff>
    </xdr:from>
    <xdr:to>
      <xdr:col>15</xdr:col>
      <xdr:colOff>171450</xdr:colOff>
      <xdr:row>37</xdr:row>
      <xdr:rowOff>180974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200650" y="1704975"/>
          <a:ext cx="4210050" cy="554354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For this exercise you will be writing</a:t>
          </a:r>
          <a:r>
            <a:rPr lang="en-US" sz="1100" baseline="0"/>
            <a:t> a custom function that subtracts the minimum value from the maximum value in each column of the chart to find the Total Excess Loads. </a:t>
          </a:r>
        </a:p>
        <a:p>
          <a:endParaRPr lang="en-US" sz="1100" baseline="0"/>
        </a:p>
        <a:p>
          <a:r>
            <a:rPr lang="en-US" sz="1100" baseline="0"/>
            <a:t>Step 1: Create a custom function called Function_Excess under a module that takes a range as an input. Call this range myrange. </a:t>
          </a:r>
        </a:p>
        <a:p>
          <a:endParaRPr lang="en-US" sz="1100" baseline="0"/>
        </a:p>
        <a:p>
          <a:r>
            <a:rPr lang="en-US" sz="1100" baseline="0"/>
            <a:t>Step 2: Declare the variables mymax (double), mymin (double), and mycell (variant). Give the initial condition of mymax = 0 and mymin = 100</a:t>
          </a:r>
        </a:p>
        <a:p>
          <a:endParaRPr lang="en-US" sz="1100" baseline="0"/>
        </a:p>
        <a:p>
          <a:r>
            <a:rPr lang="en-US" sz="1100" baseline="0"/>
            <a:t>Step 3: Write a For Each loop that cycles through each cell (mycell) in myrange and defines the maximum and minimum values. The syntax to determine either the maximum value or minimum value should look similar to the following:</a:t>
          </a:r>
        </a:p>
        <a:p>
          <a:endParaRPr lang="en-US" sz="1100" baseline="0"/>
        </a:p>
        <a:p>
          <a:r>
            <a:rPr lang="en-US" sz="1100" i="1" baseline="0"/>
            <a:t>For Min:</a:t>
          </a:r>
        </a:p>
        <a:p>
          <a:endParaRPr lang="en-US" sz="1100" i="1" baseline="0"/>
        </a:p>
        <a:p>
          <a:r>
            <a:rPr lang="en-US" sz="1100" baseline="0"/>
            <a:t>If mycell.value &lt; mymin then</a:t>
          </a:r>
        </a:p>
        <a:p>
          <a:r>
            <a:rPr lang="en-US" sz="1100" baseline="0"/>
            <a:t>    mymin = mycell.value</a:t>
          </a:r>
        </a:p>
        <a:p>
          <a:r>
            <a:rPr lang="en-US" sz="1100" baseline="0"/>
            <a:t>End if</a:t>
          </a:r>
        </a:p>
        <a:p>
          <a:endParaRPr lang="en-US" sz="1100" baseline="0"/>
        </a:p>
        <a:p>
          <a:r>
            <a:rPr lang="en-US" sz="1100" baseline="0"/>
            <a:t>Close the Loop. </a:t>
          </a:r>
        </a:p>
        <a:p>
          <a:endParaRPr lang="en-US" sz="1100" baseline="0"/>
        </a:p>
        <a:p>
          <a:r>
            <a:rPr lang="en-US" sz="1100" baseline="0"/>
            <a:t>Step 4: Subtract the minimum value from the maximum and set the answer equal to the custom function. </a:t>
          </a:r>
        </a:p>
        <a:p>
          <a:endParaRPr lang="en-US" sz="1100" baseline="0"/>
        </a:p>
        <a:p>
          <a:r>
            <a:rPr lang="en-US" sz="1100" baseline="0"/>
            <a:t>Step 5: Type your custom function into the Excess Load cells and choose the columns in the chart above as the inputs. </a:t>
          </a:r>
        </a:p>
        <a:p>
          <a:endParaRPr lang="en-US" sz="1100" baseline="0"/>
        </a:p>
        <a:p>
          <a:r>
            <a:rPr lang="en-US" sz="1100" baseline="0"/>
            <a:t>Step 6: Check your function with the correct answers.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8:H39"/>
  <sheetViews>
    <sheetView showGridLines="0" tabSelected="1" workbookViewId="0">
      <selection activeCell="A8" sqref="A8"/>
    </sheetView>
  </sheetViews>
  <sheetFormatPr defaultRowHeight="14.4" x14ac:dyDescent="0.3"/>
  <cols>
    <col min="2" max="2" width="10.5546875" customWidth="1"/>
  </cols>
  <sheetData>
    <row r="8" spans="1:8" x14ac:dyDescent="0.3">
      <c r="A8" s="1" t="s">
        <v>4</v>
      </c>
    </row>
    <row r="10" spans="1:8" ht="15" thickBot="1" x14ac:dyDescent="0.35">
      <c r="B10" s="3" t="s">
        <v>1</v>
      </c>
      <c r="C10" s="16" t="s">
        <v>0</v>
      </c>
      <c r="D10" s="16"/>
      <c r="E10" s="16"/>
      <c r="F10" s="16"/>
      <c r="G10" s="16"/>
      <c r="H10" s="16"/>
    </row>
    <row r="11" spans="1:8" x14ac:dyDescent="0.3">
      <c r="B11" s="5">
        <v>0</v>
      </c>
      <c r="C11" s="6">
        <v>0.3</v>
      </c>
      <c r="D11" s="7">
        <v>1.23E-2</v>
      </c>
      <c r="E11" s="7">
        <v>0.315</v>
      </c>
      <c r="F11" s="7">
        <v>0.1123</v>
      </c>
      <c r="G11" s="7">
        <v>0.21299999999999999</v>
      </c>
      <c r="H11" s="8">
        <v>0.26500000000000001</v>
      </c>
    </row>
    <row r="12" spans="1:8" x14ac:dyDescent="0.3">
      <c r="B12" s="5">
        <v>0.02</v>
      </c>
      <c r="C12" s="9">
        <v>1.2E-2</v>
      </c>
      <c r="D12" s="4">
        <f>C12*2</f>
        <v>2.4E-2</v>
      </c>
      <c r="E12" s="4">
        <v>1</v>
      </c>
      <c r="F12" s="4">
        <f>C12*0.8</f>
        <v>9.6000000000000009E-3</v>
      </c>
      <c r="G12" s="4">
        <f>D12+0.2*C12</f>
        <v>2.64E-2</v>
      </c>
      <c r="H12" s="10">
        <f>E12+20</f>
        <v>21</v>
      </c>
    </row>
    <row r="13" spans="1:8" x14ac:dyDescent="0.3">
      <c r="B13" s="5">
        <v>0.04</v>
      </c>
      <c r="C13" s="9">
        <v>0.01</v>
      </c>
      <c r="D13" s="4">
        <f t="shared" ref="D13:D36" si="0">C13*2</f>
        <v>0.02</v>
      </c>
      <c r="E13" s="4">
        <v>5</v>
      </c>
      <c r="F13" s="4">
        <f t="shared" ref="F13:F36" si="1">C13*0.8</f>
        <v>8.0000000000000002E-3</v>
      </c>
      <c r="G13" s="4">
        <f t="shared" ref="G13:G36" si="2">D13+0.2*C13</f>
        <v>2.1999999999999999E-2</v>
      </c>
      <c r="H13" s="10">
        <f t="shared" ref="H13:H36" si="3">E13+20</f>
        <v>25</v>
      </c>
    </row>
    <row r="14" spans="1:8" x14ac:dyDescent="0.3">
      <c r="B14" s="5">
        <v>0.06</v>
      </c>
      <c r="C14" s="9">
        <v>0.05</v>
      </c>
      <c r="D14" s="4">
        <f t="shared" si="0"/>
        <v>0.1</v>
      </c>
      <c r="E14" s="4">
        <v>20</v>
      </c>
      <c r="F14" s="4">
        <f t="shared" si="1"/>
        <v>4.0000000000000008E-2</v>
      </c>
      <c r="G14" s="4">
        <f t="shared" si="2"/>
        <v>0.11000000000000001</v>
      </c>
      <c r="H14" s="10">
        <f t="shared" si="3"/>
        <v>40</v>
      </c>
    </row>
    <row r="15" spans="1:8" x14ac:dyDescent="0.3">
      <c r="B15" s="5">
        <v>0.08</v>
      </c>
      <c r="C15" s="9">
        <v>0.05</v>
      </c>
      <c r="D15" s="4">
        <f t="shared" si="0"/>
        <v>0.1</v>
      </c>
      <c r="E15" s="4">
        <v>22</v>
      </c>
      <c r="F15" s="4">
        <f t="shared" si="1"/>
        <v>4.0000000000000008E-2</v>
      </c>
      <c r="G15" s="4">
        <f t="shared" si="2"/>
        <v>0.11000000000000001</v>
      </c>
      <c r="H15" s="10">
        <f t="shared" si="3"/>
        <v>42</v>
      </c>
    </row>
    <row r="16" spans="1:8" x14ac:dyDescent="0.3">
      <c r="B16" s="5">
        <v>0.1</v>
      </c>
      <c r="C16" s="9">
        <v>0.09</v>
      </c>
      <c r="D16" s="4">
        <f t="shared" si="0"/>
        <v>0.18</v>
      </c>
      <c r="E16" s="4">
        <v>21</v>
      </c>
      <c r="F16" s="4">
        <f t="shared" si="1"/>
        <v>7.1999999999999995E-2</v>
      </c>
      <c r="G16" s="4">
        <f t="shared" si="2"/>
        <v>0.19799999999999998</v>
      </c>
      <c r="H16" s="10">
        <f t="shared" si="3"/>
        <v>41</v>
      </c>
    </row>
    <row r="17" spans="2:8" x14ac:dyDescent="0.3">
      <c r="B17" s="5">
        <v>0.12</v>
      </c>
      <c r="C17" s="9">
        <v>1</v>
      </c>
      <c r="D17" s="4">
        <f t="shared" si="0"/>
        <v>2</v>
      </c>
      <c r="E17" s="4">
        <v>39</v>
      </c>
      <c r="F17" s="4">
        <f t="shared" si="1"/>
        <v>0.8</v>
      </c>
      <c r="G17" s="4">
        <f t="shared" si="2"/>
        <v>2.2000000000000002</v>
      </c>
      <c r="H17" s="10">
        <f t="shared" si="3"/>
        <v>59</v>
      </c>
    </row>
    <row r="18" spans="2:8" x14ac:dyDescent="0.3">
      <c r="B18" s="5">
        <v>0.14000000000000001</v>
      </c>
      <c r="C18" s="9">
        <v>10</v>
      </c>
      <c r="D18" s="4">
        <f t="shared" si="0"/>
        <v>20</v>
      </c>
      <c r="E18" s="4">
        <f t="shared" ref="E18:E29" si="4">D18-20+C18*4</f>
        <v>40</v>
      </c>
      <c r="F18" s="4">
        <f t="shared" si="1"/>
        <v>8</v>
      </c>
      <c r="G18" s="4">
        <f t="shared" si="2"/>
        <v>22</v>
      </c>
      <c r="H18" s="10">
        <f t="shared" si="3"/>
        <v>60</v>
      </c>
    </row>
    <row r="19" spans="2:8" x14ac:dyDescent="0.3">
      <c r="B19" s="5">
        <v>0.16</v>
      </c>
      <c r="C19" s="9">
        <v>16</v>
      </c>
      <c r="D19" s="4">
        <f t="shared" si="0"/>
        <v>32</v>
      </c>
      <c r="E19" s="4">
        <f t="shared" si="4"/>
        <v>76</v>
      </c>
      <c r="F19" s="4">
        <f t="shared" si="1"/>
        <v>12.8</v>
      </c>
      <c r="G19" s="4">
        <f t="shared" si="2"/>
        <v>35.200000000000003</v>
      </c>
      <c r="H19" s="10">
        <f t="shared" si="3"/>
        <v>96</v>
      </c>
    </row>
    <row r="20" spans="2:8" x14ac:dyDescent="0.3">
      <c r="B20" s="5">
        <v>0.18</v>
      </c>
      <c r="C20" s="9">
        <v>42</v>
      </c>
      <c r="D20" s="4">
        <f t="shared" si="0"/>
        <v>84</v>
      </c>
      <c r="E20" s="4">
        <f t="shared" si="4"/>
        <v>232</v>
      </c>
      <c r="F20" s="4">
        <f t="shared" si="1"/>
        <v>33.6</v>
      </c>
      <c r="G20" s="4">
        <f t="shared" si="2"/>
        <v>92.4</v>
      </c>
      <c r="H20" s="10">
        <f t="shared" si="3"/>
        <v>252</v>
      </c>
    </row>
    <row r="21" spans="2:8" x14ac:dyDescent="0.3">
      <c r="B21" s="5">
        <v>0.2</v>
      </c>
      <c r="C21" s="9">
        <v>172</v>
      </c>
      <c r="D21" s="4">
        <f t="shared" si="0"/>
        <v>344</v>
      </c>
      <c r="E21" s="4">
        <f t="shared" si="4"/>
        <v>1012</v>
      </c>
      <c r="F21" s="4">
        <f t="shared" si="1"/>
        <v>137.6</v>
      </c>
      <c r="G21" s="4">
        <f t="shared" si="2"/>
        <v>378.4</v>
      </c>
      <c r="H21" s="10">
        <f t="shared" si="3"/>
        <v>1032</v>
      </c>
    </row>
    <row r="22" spans="2:8" x14ac:dyDescent="0.3">
      <c r="B22" s="5">
        <v>0.22</v>
      </c>
      <c r="C22" s="9">
        <v>500</v>
      </c>
      <c r="D22" s="4">
        <f t="shared" si="0"/>
        <v>1000</v>
      </c>
      <c r="E22" s="4">
        <f t="shared" si="4"/>
        <v>2980</v>
      </c>
      <c r="F22" s="4">
        <f t="shared" si="1"/>
        <v>400</v>
      </c>
      <c r="G22" s="4">
        <f t="shared" si="2"/>
        <v>1100</v>
      </c>
      <c r="H22" s="10">
        <f t="shared" si="3"/>
        <v>3000</v>
      </c>
    </row>
    <row r="23" spans="2:8" x14ac:dyDescent="0.3">
      <c r="B23" s="5">
        <v>0.24</v>
      </c>
      <c r="C23" s="9">
        <v>540</v>
      </c>
      <c r="D23" s="4">
        <f t="shared" si="0"/>
        <v>1080</v>
      </c>
      <c r="E23" s="4">
        <f t="shared" si="4"/>
        <v>3220</v>
      </c>
      <c r="F23" s="4">
        <f t="shared" si="1"/>
        <v>432</v>
      </c>
      <c r="G23" s="4">
        <f t="shared" si="2"/>
        <v>1188</v>
      </c>
      <c r="H23" s="10">
        <f t="shared" si="3"/>
        <v>3240</v>
      </c>
    </row>
    <row r="24" spans="2:8" x14ac:dyDescent="0.3">
      <c r="B24" s="5">
        <v>0.26</v>
      </c>
      <c r="C24" s="9">
        <v>500</v>
      </c>
      <c r="D24" s="4">
        <f t="shared" si="0"/>
        <v>1000</v>
      </c>
      <c r="E24" s="4">
        <f t="shared" si="4"/>
        <v>2980</v>
      </c>
      <c r="F24" s="4">
        <f t="shared" si="1"/>
        <v>400</v>
      </c>
      <c r="G24" s="4">
        <f t="shared" si="2"/>
        <v>1100</v>
      </c>
      <c r="H24" s="10">
        <f t="shared" si="3"/>
        <v>3000</v>
      </c>
    </row>
    <row r="25" spans="2:8" x14ac:dyDescent="0.3">
      <c r="B25" s="5">
        <v>0.28000000000000003</v>
      </c>
      <c r="C25" s="9">
        <v>300</v>
      </c>
      <c r="D25" s="4">
        <f t="shared" si="0"/>
        <v>600</v>
      </c>
      <c r="E25" s="4">
        <f t="shared" si="4"/>
        <v>1780</v>
      </c>
      <c r="F25" s="4">
        <f t="shared" si="1"/>
        <v>240</v>
      </c>
      <c r="G25" s="4">
        <f t="shared" si="2"/>
        <v>660</v>
      </c>
      <c r="H25" s="10">
        <f t="shared" si="3"/>
        <v>1800</v>
      </c>
    </row>
    <row r="26" spans="2:8" x14ac:dyDescent="0.3">
      <c r="B26" s="5">
        <v>0.3</v>
      </c>
      <c r="C26" s="9">
        <v>220</v>
      </c>
      <c r="D26" s="4">
        <f t="shared" si="0"/>
        <v>440</v>
      </c>
      <c r="E26" s="4">
        <f t="shared" si="4"/>
        <v>1300</v>
      </c>
      <c r="F26" s="4">
        <f t="shared" si="1"/>
        <v>176</v>
      </c>
      <c r="G26" s="4">
        <f t="shared" si="2"/>
        <v>484</v>
      </c>
      <c r="H26" s="10">
        <f t="shared" si="3"/>
        <v>1320</v>
      </c>
    </row>
    <row r="27" spans="2:8" x14ac:dyDescent="0.3">
      <c r="B27" s="5">
        <v>0.32</v>
      </c>
      <c r="C27" s="9">
        <v>120</v>
      </c>
      <c r="D27" s="4">
        <f t="shared" si="0"/>
        <v>240</v>
      </c>
      <c r="E27" s="4">
        <f t="shared" si="4"/>
        <v>700</v>
      </c>
      <c r="F27" s="4">
        <f t="shared" si="1"/>
        <v>96</v>
      </c>
      <c r="G27" s="4">
        <f t="shared" si="2"/>
        <v>264</v>
      </c>
      <c r="H27" s="10">
        <f t="shared" si="3"/>
        <v>720</v>
      </c>
    </row>
    <row r="28" spans="2:8" x14ac:dyDescent="0.3">
      <c r="B28" s="5">
        <v>0.34</v>
      </c>
      <c r="C28" s="9">
        <v>110</v>
      </c>
      <c r="D28" s="4">
        <f t="shared" si="0"/>
        <v>220</v>
      </c>
      <c r="E28" s="4">
        <f t="shared" si="4"/>
        <v>640</v>
      </c>
      <c r="F28" s="4">
        <f t="shared" si="1"/>
        <v>88</v>
      </c>
      <c r="G28" s="4">
        <f t="shared" si="2"/>
        <v>242</v>
      </c>
      <c r="H28" s="10">
        <f t="shared" si="3"/>
        <v>660</v>
      </c>
    </row>
    <row r="29" spans="2:8" x14ac:dyDescent="0.3">
      <c r="B29" s="5">
        <v>0.36</v>
      </c>
      <c r="C29" s="9">
        <v>19</v>
      </c>
      <c r="D29" s="4">
        <f t="shared" si="0"/>
        <v>38</v>
      </c>
      <c r="E29" s="4">
        <f t="shared" si="4"/>
        <v>94</v>
      </c>
      <c r="F29" s="4">
        <f t="shared" si="1"/>
        <v>15.200000000000001</v>
      </c>
      <c r="G29" s="4">
        <f t="shared" si="2"/>
        <v>41.8</v>
      </c>
      <c r="H29" s="10">
        <f t="shared" si="3"/>
        <v>114</v>
      </c>
    </row>
    <row r="30" spans="2:8" x14ac:dyDescent="0.3">
      <c r="B30" s="5">
        <v>0.38</v>
      </c>
      <c r="C30" s="9">
        <v>1</v>
      </c>
      <c r="D30" s="4">
        <f t="shared" si="0"/>
        <v>2</v>
      </c>
      <c r="E30" s="4">
        <v>10</v>
      </c>
      <c r="F30" s="4">
        <f t="shared" si="1"/>
        <v>0.8</v>
      </c>
      <c r="G30" s="4">
        <f t="shared" si="2"/>
        <v>2.2000000000000002</v>
      </c>
      <c r="H30" s="10">
        <f t="shared" si="3"/>
        <v>30</v>
      </c>
    </row>
    <row r="31" spans="2:8" x14ac:dyDescent="0.3">
      <c r="B31" s="5">
        <v>0.4</v>
      </c>
      <c r="C31" s="9">
        <v>0.1</v>
      </c>
      <c r="D31" s="4">
        <f t="shared" si="0"/>
        <v>0.2</v>
      </c>
      <c r="E31" s="4">
        <v>7</v>
      </c>
      <c r="F31" s="4">
        <f t="shared" si="1"/>
        <v>8.0000000000000016E-2</v>
      </c>
      <c r="G31" s="4">
        <f t="shared" si="2"/>
        <v>0.22000000000000003</v>
      </c>
      <c r="H31" s="10">
        <f t="shared" si="3"/>
        <v>27</v>
      </c>
    </row>
    <row r="32" spans="2:8" x14ac:dyDescent="0.3">
      <c r="B32" s="5">
        <v>0.42</v>
      </c>
      <c r="C32" s="9">
        <v>0.1</v>
      </c>
      <c r="D32" s="4">
        <f t="shared" si="0"/>
        <v>0.2</v>
      </c>
      <c r="E32" s="4">
        <v>5</v>
      </c>
      <c r="F32" s="4">
        <f t="shared" si="1"/>
        <v>8.0000000000000016E-2</v>
      </c>
      <c r="G32" s="4">
        <f t="shared" si="2"/>
        <v>0.22000000000000003</v>
      </c>
      <c r="H32" s="10">
        <f t="shared" si="3"/>
        <v>25</v>
      </c>
    </row>
    <row r="33" spans="2:8" x14ac:dyDescent="0.3">
      <c r="B33" s="5">
        <v>0.44</v>
      </c>
      <c r="C33" s="9">
        <v>0.1</v>
      </c>
      <c r="D33" s="4">
        <f t="shared" si="0"/>
        <v>0.2</v>
      </c>
      <c r="E33" s="4">
        <v>0</v>
      </c>
      <c r="F33" s="4">
        <f t="shared" si="1"/>
        <v>8.0000000000000016E-2</v>
      </c>
      <c r="G33" s="4">
        <f t="shared" si="2"/>
        <v>0.22000000000000003</v>
      </c>
      <c r="H33" s="10">
        <f t="shared" si="3"/>
        <v>20</v>
      </c>
    </row>
    <row r="34" spans="2:8" x14ac:dyDescent="0.3">
      <c r="B34" s="5">
        <v>0.46</v>
      </c>
      <c r="C34" s="9">
        <v>0.5</v>
      </c>
      <c r="D34" s="4">
        <f t="shared" si="0"/>
        <v>1</v>
      </c>
      <c r="E34" s="4">
        <v>0.1</v>
      </c>
      <c r="F34" s="4">
        <f t="shared" si="1"/>
        <v>0.4</v>
      </c>
      <c r="G34" s="4">
        <f t="shared" si="2"/>
        <v>1.1000000000000001</v>
      </c>
      <c r="H34" s="10">
        <f t="shared" si="3"/>
        <v>20.100000000000001</v>
      </c>
    </row>
    <row r="35" spans="2:8" x14ac:dyDescent="0.3">
      <c r="B35" s="5">
        <v>0.48</v>
      </c>
      <c r="C35" s="9">
        <v>0.1</v>
      </c>
      <c r="D35" s="4">
        <f t="shared" si="0"/>
        <v>0.2</v>
      </c>
      <c r="E35" s="4">
        <v>0</v>
      </c>
      <c r="F35" s="4">
        <f t="shared" si="1"/>
        <v>8.0000000000000016E-2</v>
      </c>
      <c r="G35" s="4">
        <f t="shared" si="2"/>
        <v>0.22000000000000003</v>
      </c>
      <c r="H35" s="10">
        <f t="shared" si="3"/>
        <v>20</v>
      </c>
    </row>
    <row r="36" spans="2:8" ht="15" thickBot="1" x14ac:dyDescent="0.35">
      <c r="B36" s="5">
        <v>0.5</v>
      </c>
      <c r="C36" s="11">
        <v>0.2</v>
      </c>
      <c r="D36" s="12">
        <f t="shared" si="0"/>
        <v>0.4</v>
      </c>
      <c r="E36" s="12">
        <v>0.1</v>
      </c>
      <c r="F36" s="12">
        <f t="shared" si="1"/>
        <v>0.16000000000000003</v>
      </c>
      <c r="G36" s="12">
        <f t="shared" si="2"/>
        <v>0.44000000000000006</v>
      </c>
      <c r="H36" s="13">
        <f t="shared" si="3"/>
        <v>20.100000000000001</v>
      </c>
    </row>
    <row r="38" spans="2:8" x14ac:dyDescent="0.3">
      <c r="B38" s="14" t="s">
        <v>2</v>
      </c>
      <c r="C38" s="15"/>
      <c r="D38" s="15"/>
      <c r="E38" s="15"/>
      <c r="F38" s="15"/>
      <c r="G38" s="15"/>
      <c r="H38" s="15"/>
    </row>
    <row r="39" spans="2:8" x14ac:dyDescent="0.3">
      <c r="B39" s="14" t="s">
        <v>3</v>
      </c>
      <c r="C39" s="2">
        <v>539.99</v>
      </c>
      <c r="D39" s="2">
        <v>1079.9876999999999</v>
      </c>
      <c r="E39" s="2">
        <v>3220</v>
      </c>
      <c r="F39" s="2">
        <v>431.99200000000002</v>
      </c>
      <c r="G39" s="2">
        <v>1187.9780000000001</v>
      </c>
      <c r="H39" s="2">
        <v>3239.7350000000001</v>
      </c>
    </row>
  </sheetData>
  <mergeCells count="1">
    <mergeCell ref="C10:H10"/>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2021-05-19T21:08:01Z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