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vba\functions\"/>
    </mc:Choice>
  </mc:AlternateContent>
  <xr:revisionPtr revIDLastSave="0" documentId="13_ncr:1_{073F451A-7A08-40B8-A30C-2B4B499E0A55}" xr6:coauthVersionLast="46" xr6:coauthVersionMax="46" xr10:uidLastSave="{00000000-0000-0000-0000-000000000000}"/>
  <bookViews>
    <workbookView xWindow="-108" yWindow="1512" windowWidth="23256" windowHeight="10956" xr2:uid="{00000000-000D-0000-FFFF-FFFF00000000}"/>
  </bookViews>
  <sheets>
    <sheet name="Sheet1" sheetId="1" r:id="rId1"/>
  </sheets>
  <functionGroups builtInGroupCount="19"/>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2" i="1" l="1"/>
  <c r="E21" i="1"/>
  <c r="D22" i="1"/>
  <c r="D21" i="1"/>
</calcChain>
</file>

<file path=xl/sharedStrings.xml><?xml version="1.0" encoding="utf-8"?>
<sst xmlns="http://schemas.openxmlformats.org/spreadsheetml/2006/main" count="19" uniqueCount="16">
  <si>
    <t>P</t>
  </si>
  <si>
    <t>V</t>
  </si>
  <si>
    <t>Z</t>
  </si>
  <si>
    <t>Metric</t>
  </si>
  <si>
    <t>English</t>
  </si>
  <si>
    <t>f</t>
  </si>
  <si>
    <t>l</t>
  </si>
  <si>
    <t>D</t>
  </si>
  <si>
    <t>K</t>
  </si>
  <si>
    <t>[lb/ft^2]</t>
  </si>
  <si>
    <t>[ft/s]</t>
  </si>
  <si>
    <t>[ft]</t>
  </si>
  <si>
    <t>Head</t>
  </si>
  <si>
    <t>Headloss</t>
  </si>
  <si>
    <t>Units:</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</si>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</sst>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3" x14ac:knownFonts="1">
    <font>
      <sz val="11"/>
      <color theme="1"/>
      <name val="Calibri"/>
      <family val="2"/>
      <scheme val="minor"/>
    </font>
    <font>
      <b/>
      <i/>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rgb="FFFFC000"/>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4"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9">
    <xf numFmtId="0" fontId="0" fillId="0" borderId="0" xfId="0"/>
    <xf numFmtId="0" fontId="1" fillId="0" borderId="0" xfId="0" applyFont="1"/>
    <xf numFmtId="0" fontId="2" fillId="2" borderId="0" xfId="0" applyFont="1" applyFill="1" applyAlignment="1">
      <alignment horizontal="right"/>
    </xf>
    <xf numFmtId="0" fontId="0" fillId="4" borderId="1" xfId="0" applyFill="1" applyBorder="1"/>
    <xf numFmtId="0" fontId="0" fillId="0" borderId="2" xfId="0" applyBorder="1"/>
    <xf numFmtId="0" fontId="0" fillId="0" borderId="0" xfId="0" applyBorder="1"/>
    <xf numFmtId="0" fontId="2" fillId="3" borderId="0" xfId="0" applyFont="1" applyFill="1" applyBorder="1" applyAlignment="1">
      <alignment horizontal="right"/>
    </xf>
    <xf numFmtId="164" fontId="0" fillId="5" borderId="1" xfId="0" applyNumberFormat="1" applyFill="1" applyBorder="1"/>
    <xf numFmtId="0" fontId="0" fillId="0" borderId="0" xfId="0" applyAlignment="1">
      <alignment horizontal="right"/>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371475</xdr:colOff>
      <xdr:row>22</xdr:row>
      <xdr:rowOff>180976</xdr:rowOff>
    </xdr:from>
    <xdr:to>
      <xdr:col>9</xdr:col>
      <xdr:colOff>276225</xdr:colOff>
      <xdr:row>35</xdr:row>
      <xdr:rowOff>95252</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981075" y="4848226"/>
          <a:ext cx="4867275" cy="2390776"/>
        </a:xfrm>
        <a:prstGeom prst="rect">
          <a:avLst/>
        </a:prstGeom>
        <a:ln w="28575">
          <a:solidFill>
            <a:schemeClr val="tx1"/>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endParaRPr lang="en-US" sz="1100"/>
        </a:p>
      </xdr:txBody>
    </xdr:sp>
    <xdr:clientData/>
  </xdr:twoCellAnchor>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Functions</a:t>
          </a:r>
        </a:p>
      </xdr:txBody>
    </xdr:sp>
    <xdr:clientData/>
  </xdr:twoCellAnchor>
  <xdr:twoCellAnchor>
    <xdr:from>
      <xdr:col>9</xdr:col>
      <xdr:colOff>381000</xdr:colOff>
      <xdr:row>5</xdr:row>
      <xdr:rowOff>38100</xdr:rowOff>
    </xdr:from>
    <xdr:to>
      <xdr:col>17</xdr:col>
      <xdr:colOff>514350</xdr:colOff>
      <xdr:row>28</xdr:row>
      <xdr:rowOff>85725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057900" y="990600"/>
          <a:ext cx="5010150" cy="4448175"/>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The huge advantage</a:t>
          </a:r>
          <a:r>
            <a:rPr lang="en-US" sz="1100" baseline="0"/>
            <a:t> to custom functions is that you can change one cell in your existing sheet and the cells using the custom function will automatically be updated. Cell C20 has been data validated to only allow for "English" or "Metric" values.</a:t>
          </a:r>
        </a:p>
        <a:p>
          <a:endParaRPr lang="en-US" sz="1100" baseline="0"/>
        </a:p>
        <a:p>
          <a:r>
            <a:rPr lang="en-US" sz="1100" baseline="0"/>
            <a:t>Step 1: Create a Public Function named hlmajor that passes f,l,d and v as doubles. Calculate the function with the equation below. </a:t>
          </a:r>
        </a:p>
        <a:p>
          <a:endParaRPr lang="en-US" sz="1100" baseline="0"/>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Step 2: Create a Public Function named hlminor that passes k and v as doubles. Calculate the function with the equation below. </a:t>
          </a:r>
          <a:endParaRPr lang="en-US">
            <a:effectLst/>
          </a:endParaRPr>
        </a:p>
        <a:p>
          <a:endParaRPr lang="en-US" sz="1100" baseline="0"/>
        </a:p>
        <a:p>
          <a:r>
            <a:rPr lang="en-US" sz="1100" baseline="0"/>
            <a:t>Step 3: Create a public function named Head that passes p, v, z, f, l, d, k as doubles and units as a string. Use the function and inputs to to calculate the function as shown in the equation below. Call your hlmajor and hlminor public functions within the head function calculations. Write an if statement that if the units are metric, multiply your answer by .3048.</a:t>
          </a:r>
        </a:p>
        <a:p>
          <a:endParaRPr lang="en-US" sz="1100" baseline="0"/>
        </a:p>
        <a:p>
          <a:pPr marL="0" marR="0" indent="0" defTabSz="914400" eaLnBrk="1" fontAlgn="auto" latinLnBrk="0" hangingPunct="1">
            <a:lnSpc>
              <a:spcPct val="100000"/>
            </a:lnSpc>
            <a:spcBef>
              <a:spcPts val="0"/>
            </a:spcBef>
            <a:spcAft>
              <a:spcPts val="0"/>
            </a:spcAft>
            <a:buClrTx/>
            <a:buSzTx/>
            <a:buFontTx/>
            <a:buNone/>
            <a:tabLst/>
            <a:defRPr/>
          </a:pPr>
          <a:r>
            <a:rPr lang="en-US" sz="1100" baseline="0"/>
            <a:t>Step 4: Create a public function named headloss that passes f, l, d, k, v as doubles and units as a string. Calculate the headloss using the equation below and call your hlmajor and hlminor functions within your headloss calculations. </a:t>
          </a:r>
          <a:r>
            <a:rPr lang="en-US" sz="1100" baseline="0">
              <a:solidFill>
                <a:schemeClr val="dk1"/>
              </a:solidFill>
              <a:effectLst/>
              <a:latin typeface="+mn-lt"/>
              <a:ea typeface="+mn-ea"/>
              <a:cs typeface="+mn-cs"/>
            </a:rPr>
            <a:t>Write an if statement that if the units are metric, multiply your answer by .3048.</a:t>
          </a:r>
          <a:endParaRPr lang="en-US">
            <a:effectLst/>
          </a:endParaRPr>
        </a:p>
        <a:p>
          <a:endParaRPr lang="en-US" sz="1100"/>
        </a:p>
        <a:p>
          <a:r>
            <a:rPr lang="en-US" sz="1100"/>
            <a:t>Step 5: Type the custom</a:t>
          </a:r>
          <a:r>
            <a:rPr lang="en-US" sz="1100" baseline="0"/>
            <a:t> functions into the Head and Headloss cells. Select the appropriate inputs to pass into the functions. Notice that as you switch between English and Metric the values are automatically updated without have to push any buttons. </a:t>
          </a:r>
          <a:endParaRPr lang="en-US" sz="1100"/>
        </a:p>
      </xdr:txBody>
    </xdr:sp>
    <xdr:clientData/>
  </xdr:twoCellAnchor>
  <xdr:oneCellAnchor>
    <xdr:from>
      <xdr:col>1</xdr:col>
      <xdr:colOff>561975</xdr:colOff>
      <xdr:row>22</xdr:row>
      <xdr:rowOff>176212</xdr:rowOff>
    </xdr:from>
    <xdr:ext cx="4277709" cy="54393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171575" y="4843462"/>
              <a:ext cx="4277709"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1" i="0">
                        <a:latin typeface="Cambria Math" panose="02040503050406030204" pitchFamily="18" charset="0"/>
                      </a:rPr>
                      <m:t>𝐇𝐞𝐚𝐝</m:t>
                    </m:r>
                    <m:r>
                      <a:rPr lang="en-US" sz="1200" b="1" i="0">
                        <a:latin typeface="Cambria Math" panose="02040503050406030204" pitchFamily="18" charset="0"/>
                      </a:rPr>
                      <m:t>= </m:t>
                    </m:r>
                    <m:f>
                      <m:fPr>
                        <m:ctrlPr>
                          <a:rPr lang="en-US" sz="1200" b="1" i="1">
                            <a:latin typeface="Cambria Math" panose="02040503050406030204" pitchFamily="18" charset="0"/>
                          </a:rPr>
                        </m:ctrlPr>
                      </m:fPr>
                      <m:num>
                        <m:r>
                          <a:rPr lang="en-US" sz="1200" b="1" i="0">
                            <a:latin typeface="Cambria Math" panose="02040503050406030204" pitchFamily="18" charset="0"/>
                          </a:rPr>
                          <m:t>𝐏</m:t>
                        </m:r>
                      </m:num>
                      <m:den>
                        <m:r>
                          <a:rPr lang="en-US" sz="1200" b="1" i="0">
                            <a:latin typeface="Cambria Math" panose="02040503050406030204" pitchFamily="18" charset="0"/>
                          </a:rPr>
                          <m:t>𝟔𝟐</m:t>
                        </m:r>
                        <m:r>
                          <a:rPr lang="en-US" sz="1200" b="1" i="0">
                            <a:latin typeface="Cambria Math" panose="02040503050406030204" pitchFamily="18" charset="0"/>
                          </a:rPr>
                          <m:t>.</m:t>
                        </m:r>
                        <m:r>
                          <a:rPr lang="en-US" sz="1200" b="1" i="0">
                            <a:latin typeface="Cambria Math" panose="02040503050406030204" pitchFamily="18" charset="0"/>
                          </a:rPr>
                          <m:t>𝟒</m:t>
                        </m:r>
                        <m:r>
                          <a:rPr lang="en-US" sz="1200" b="1" i="0">
                            <a:latin typeface="Cambria Math" panose="02040503050406030204" pitchFamily="18" charset="0"/>
                          </a:rPr>
                          <m:t> </m:t>
                        </m:r>
                        <m:r>
                          <a:rPr lang="en-US" sz="1200" b="1" i="0">
                            <a:latin typeface="Cambria Math" panose="02040503050406030204" pitchFamily="18" charset="0"/>
                          </a:rPr>
                          <m:t>𝐥𝐛</m:t>
                        </m:r>
                        <m:r>
                          <a:rPr lang="en-US" sz="1200" b="1" i="0">
                            <a:latin typeface="Cambria Math" panose="02040503050406030204" pitchFamily="18" charset="0"/>
                          </a:rPr>
                          <m:t>/</m:t>
                        </m:r>
                        <m:sSup>
                          <m:sSupPr>
                            <m:ctrlPr>
                              <a:rPr lang="en-US" sz="1200" b="1" i="1">
                                <a:latin typeface="Cambria Math" panose="02040503050406030204" pitchFamily="18" charset="0"/>
                              </a:rPr>
                            </m:ctrlPr>
                          </m:sSupPr>
                          <m:e>
                            <m:r>
                              <a:rPr lang="en-US" sz="1200" b="1" i="0">
                                <a:latin typeface="Cambria Math" panose="02040503050406030204" pitchFamily="18" charset="0"/>
                              </a:rPr>
                              <m:t>𝐟𝐭</m:t>
                            </m:r>
                          </m:e>
                          <m:sup>
                            <m:r>
                              <a:rPr lang="en-US" sz="1200" b="1" i="0">
                                <a:latin typeface="Cambria Math" panose="02040503050406030204" pitchFamily="18" charset="0"/>
                              </a:rPr>
                              <m:t>𝟑</m:t>
                            </m:r>
                          </m:sup>
                        </m:sSup>
                      </m:den>
                    </m:f>
                    <m:r>
                      <a:rPr lang="en-US" sz="1200" b="1" i="0">
                        <a:latin typeface="Cambria Math" panose="02040503050406030204" pitchFamily="18" charset="0"/>
                      </a:rPr>
                      <m:t>+</m:t>
                    </m:r>
                    <m:f>
                      <m:fPr>
                        <m:ctrlPr>
                          <a:rPr lang="en-US" sz="1200" b="1" i="1">
                            <a:latin typeface="Cambria Math" panose="02040503050406030204" pitchFamily="18" charset="0"/>
                          </a:rPr>
                        </m:ctrlPr>
                      </m:fPr>
                      <m:num>
                        <m:sSup>
                          <m:sSupPr>
                            <m:ctrlPr>
                              <a:rPr lang="en-US" sz="1200" b="1" i="1">
                                <a:latin typeface="Cambria Math" panose="02040503050406030204" pitchFamily="18" charset="0"/>
                              </a:rPr>
                            </m:ctrlPr>
                          </m:sSupPr>
                          <m:e>
                            <m:r>
                              <a:rPr lang="en-US" sz="1200" b="1" i="0">
                                <a:latin typeface="Cambria Math" panose="02040503050406030204" pitchFamily="18" charset="0"/>
                              </a:rPr>
                              <m:t>𝐕</m:t>
                            </m:r>
                          </m:e>
                          <m:sup>
                            <m:r>
                              <a:rPr lang="en-US" sz="1200" b="1" i="0">
                                <a:latin typeface="Cambria Math" panose="02040503050406030204" pitchFamily="18" charset="0"/>
                              </a:rPr>
                              <m:t>𝟐</m:t>
                            </m:r>
                          </m:sup>
                        </m:sSup>
                      </m:num>
                      <m:den>
                        <m:r>
                          <a:rPr lang="en-US" sz="1200" b="1" i="0">
                            <a:latin typeface="Cambria Math" panose="02040503050406030204" pitchFamily="18" charset="0"/>
                          </a:rPr>
                          <m:t>𝟐</m:t>
                        </m:r>
                        <m:r>
                          <a:rPr lang="en-US" sz="1200" b="1" i="0">
                            <a:latin typeface="Cambria Math" panose="02040503050406030204" pitchFamily="18" charset="0"/>
                          </a:rPr>
                          <m:t>(</m:t>
                        </m:r>
                        <m:r>
                          <a:rPr lang="en-US" sz="1200" b="1" i="0">
                            <a:latin typeface="Cambria Math" panose="02040503050406030204" pitchFamily="18" charset="0"/>
                          </a:rPr>
                          <m:t>𝟑𝟐</m:t>
                        </m:r>
                        <m:r>
                          <a:rPr lang="en-US" sz="1200" b="1" i="0">
                            <a:latin typeface="Cambria Math" panose="02040503050406030204" pitchFamily="18" charset="0"/>
                          </a:rPr>
                          <m:t>.</m:t>
                        </m:r>
                        <m:r>
                          <a:rPr lang="en-US" sz="1200" b="1" i="0">
                            <a:latin typeface="Cambria Math" panose="02040503050406030204" pitchFamily="18" charset="0"/>
                          </a:rPr>
                          <m:t>𝟐</m:t>
                        </m:r>
                        <m:f>
                          <m:fPr>
                            <m:ctrlPr>
                              <a:rPr lang="en-US" sz="1200" b="1" i="1">
                                <a:latin typeface="Cambria Math" panose="02040503050406030204" pitchFamily="18" charset="0"/>
                              </a:rPr>
                            </m:ctrlPr>
                          </m:fPr>
                          <m:num>
                            <m:r>
                              <a:rPr lang="en-US" sz="1200" b="1" i="0">
                                <a:latin typeface="Cambria Math" panose="02040503050406030204" pitchFamily="18" charset="0"/>
                              </a:rPr>
                              <m:t>𝐟𝐭</m:t>
                            </m:r>
                          </m:num>
                          <m:den>
                            <m:sSup>
                              <m:sSupPr>
                                <m:ctrlPr>
                                  <a:rPr lang="en-US" sz="1200" b="1" i="1">
                                    <a:latin typeface="Cambria Math" panose="02040503050406030204" pitchFamily="18" charset="0"/>
                                  </a:rPr>
                                </m:ctrlPr>
                              </m:sSupPr>
                              <m:e>
                                <m:r>
                                  <a:rPr lang="en-US" sz="1200" b="1" i="0">
                                    <a:latin typeface="Cambria Math" panose="02040503050406030204" pitchFamily="18" charset="0"/>
                                  </a:rPr>
                                  <m:t>𝐬</m:t>
                                </m:r>
                              </m:e>
                              <m:sup>
                                <m:r>
                                  <a:rPr lang="en-US" sz="1200" b="1" i="0">
                                    <a:latin typeface="Cambria Math" panose="02040503050406030204" pitchFamily="18" charset="0"/>
                                  </a:rPr>
                                  <m:t>𝟐</m:t>
                                </m:r>
                              </m:sup>
                            </m:sSup>
                          </m:den>
                        </m:f>
                        <m:r>
                          <a:rPr lang="en-US" sz="1200" b="1" i="0">
                            <a:latin typeface="Cambria Math" panose="02040503050406030204" pitchFamily="18" charset="0"/>
                          </a:rPr>
                          <m:t>)</m:t>
                        </m:r>
                      </m:den>
                    </m:f>
                    <m:r>
                      <a:rPr lang="en-US" sz="1200" b="1" i="0">
                        <a:latin typeface="Cambria Math" panose="02040503050406030204" pitchFamily="18" charset="0"/>
                      </a:rPr>
                      <m:t>+</m:t>
                    </m:r>
                    <m:r>
                      <a:rPr lang="en-US" sz="1200" b="1" i="0">
                        <a:latin typeface="Cambria Math" panose="02040503050406030204" pitchFamily="18" charset="0"/>
                      </a:rPr>
                      <m:t>𝐳</m:t>
                    </m:r>
                    <m:r>
                      <a:rPr lang="en-US" sz="1200" b="1" i="0">
                        <a:latin typeface="Cambria Math" panose="02040503050406030204" pitchFamily="18" charset="0"/>
                      </a:rPr>
                      <m:t>−</m:t>
                    </m:r>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𝐌𝐚𝐣𝐨𝐫</m:t>
                    </m:r>
                    <m:r>
                      <a:rPr lang="en-US" sz="1200" b="1" i="0">
                        <a:latin typeface="Cambria Math" panose="02040503050406030204" pitchFamily="18" charset="0"/>
                      </a:rPr>
                      <m:t>− </m:t>
                    </m:r>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𝐌𝐢𝐧𝐨𝐫</m:t>
                    </m:r>
                    <m:r>
                      <a:rPr lang="en-US" sz="1200" b="1" i="0">
                        <a:latin typeface="Cambria Math" panose="02040503050406030204" pitchFamily="18" charset="0"/>
                      </a:rPr>
                      <m:t> </m:t>
                    </m:r>
                  </m:oMath>
                </m:oMathPara>
              </a14:m>
              <a:endParaRPr lang="en-US" sz="1200" b="1" i="0"/>
            </a:p>
          </xdr:txBody>
        </xdr:sp>
      </mc:Choice>
      <mc:Fallback xmlns="">
        <xdr:sp macro="" textlink="">
          <xdr:nvSpPr>
            <xdr:cNvPr id="4" name="TextBox 3"/>
            <xdr:cNvSpPr txBox="1"/>
          </xdr:nvSpPr>
          <xdr:spPr>
            <a:xfrm>
              <a:off x="1171575" y="4843462"/>
              <a:ext cx="4277709"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1" i="0">
                  <a:latin typeface="Cambria Math" panose="02040503050406030204" pitchFamily="18" charset="0"/>
                </a:rPr>
                <a:t>𝐇𝐞𝐚𝐝=  𝐏/(𝟔𝟐.𝟒 𝐥𝐛/〖𝐟𝐭〗^𝟑 )+𝐕^𝟐/(𝟐(𝟑𝟐.𝟐 𝐟𝐭/𝐬^𝟐 ))+𝐳−𝐇_𝐋 𝐌𝐚𝐣𝐨𝐫− 𝐇_𝐋 𝐌𝐢𝐧𝐨𝐫 </a:t>
              </a:r>
              <a:endParaRPr lang="en-US" sz="1200" b="1" i="0"/>
            </a:p>
          </xdr:txBody>
        </xdr:sp>
      </mc:Fallback>
    </mc:AlternateContent>
    <xdr:clientData/>
  </xdr:oneCellAnchor>
  <xdr:oneCellAnchor>
    <xdr:from>
      <xdr:col>1</xdr:col>
      <xdr:colOff>561975</xdr:colOff>
      <xdr:row>26</xdr:row>
      <xdr:rowOff>109537</xdr:rowOff>
    </xdr:from>
    <xdr:ext cx="1804084" cy="543931"/>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171575" y="5538787"/>
              <a:ext cx="1804084"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𝐌𝐚𝐣𝐨𝐫</m:t>
                    </m:r>
                    <m:r>
                      <a:rPr lang="en-US" sz="1200" b="1" i="0">
                        <a:latin typeface="Cambria Math" panose="02040503050406030204" pitchFamily="18" charset="0"/>
                      </a:rPr>
                      <m:t>=</m:t>
                    </m:r>
                    <m:r>
                      <a:rPr lang="en-US" sz="1200" b="1" i="0">
                        <a:latin typeface="Cambria Math" panose="02040503050406030204" pitchFamily="18" charset="0"/>
                      </a:rPr>
                      <m:t>𝐟</m:t>
                    </m:r>
                    <m:f>
                      <m:fPr>
                        <m:ctrlPr>
                          <a:rPr lang="en-US" sz="1200" b="1" i="1">
                            <a:latin typeface="Cambria Math" panose="02040503050406030204" pitchFamily="18" charset="0"/>
                          </a:rPr>
                        </m:ctrlPr>
                      </m:fPr>
                      <m:num>
                        <m:r>
                          <a:rPr lang="en-US" sz="1200" b="1" i="0">
                            <a:latin typeface="Cambria Math" panose="02040503050406030204" pitchFamily="18" charset="0"/>
                          </a:rPr>
                          <m:t>𝐥</m:t>
                        </m:r>
                      </m:num>
                      <m:den>
                        <m:r>
                          <a:rPr lang="en-US" sz="1200" b="1" i="0">
                            <a:latin typeface="Cambria Math" panose="02040503050406030204" pitchFamily="18" charset="0"/>
                          </a:rPr>
                          <m:t>𝐃</m:t>
                        </m:r>
                      </m:den>
                    </m:f>
                    <m:f>
                      <m:fPr>
                        <m:ctrlPr>
                          <a:rPr lang="en-US" sz="1200" b="1" i="1">
                            <a:latin typeface="Cambria Math" panose="02040503050406030204" pitchFamily="18" charset="0"/>
                          </a:rPr>
                        </m:ctrlPr>
                      </m:fPr>
                      <m:num>
                        <m:sSup>
                          <m:sSupPr>
                            <m:ctrlPr>
                              <a:rPr lang="en-US" sz="1200" b="1" i="1">
                                <a:latin typeface="Cambria Math" panose="02040503050406030204" pitchFamily="18" charset="0"/>
                              </a:rPr>
                            </m:ctrlPr>
                          </m:sSupPr>
                          <m:e>
                            <m:r>
                              <a:rPr lang="en-US" sz="1200" b="1" i="0">
                                <a:latin typeface="Cambria Math" panose="02040503050406030204" pitchFamily="18" charset="0"/>
                              </a:rPr>
                              <m:t>𝐕</m:t>
                            </m:r>
                          </m:e>
                          <m:sup>
                            <m:r>
                              <a:rPr lang="en-US" sz="1200" b="1" i="0">
                                <a:latin typeface="Cambria Math" panose="02040503050406030204" pitchFamily="18" charset="0"/>
                              </a:rPr>
                              <m:t>𝟐</m:t>
                            </m:r>
                          </m:sup>
                        </m:sSup>
                      </m:num>
                      <m:den>
                        <m:r>
                          <a:rPr lang="en-US" sz="1200" b="1" i="0">
                            <a:latin typeface="Cambria Math" panose="02040503050406030204" pitchFamily="18" charset="0"/>
                          </a:rPr>
                          <m:t>𝟐</m:t>
                        </m:r>
                        <m:r>
                          <a:rPr lang="en-US" sz="1200" b="1" i="0">
                            <a:latin typeface="Cambria Math" panose="02040503050406030204" pitchFamily="18" charset="0"/>
                          </a:rPr>
                          <m:t>(</m:t>
                        </m:r>
                        <m:r>
                          <a:rPr lang="en-US" sz="1200" b="1" i="0">
                            <a:latin typeface="Cambria Math" panose="02040503050406030204" pitchFamily="18" charset="0"/>
                          </a:rPr>
                          <m:t>𝟑𝟐</m:t>
                        </m:r>
                        <m:r>
                          <a:rPr lang="en-US" sz="1200" b="1" i="0">
                            <a:latin typeface="Cambria Math" panose="02040503050406030204" pitchFamily="18" charset="0"/>
                          </a:rPr>
                          <m:t>.</m:t>
                        </m:r>
                        <m:r>
                          <a:rPr lang="en-US" sz="1200" b="1" i="0">
                            <a:latin typeface="Cambria Math" panose="02040503050406030204" pitchFamily="18" charset="0"/>
                          </a:rPr>
                          <m:t>𝟐</m:t>
                        </m:r>
                        <m:f>
                          <m:fPr>
                            <m:ctrlPr>
                              <a:rPr lang="en-US" sz="1200" b="1" i="1">
                                <a:latin typeface="Cambria Math" panose="02040503050406030204" pitchFamily="18" charset="0"/>
                              </a:rPr>
                            </m:ctrlPr>
                          </m:fPr>
                          <m:num>
                            <m:r>
                              <a:rPr lang="en-US" sz="1200" b="1" i="0">
                                <a:latin typeface="Cambria Math" panose="02040503050406030204" pitchFamily="18" charset="0"/>
                              </a:rPr>
                              <m:t>𝐟𝐭</m:t>
                            </m:r>
                          </m:num>
                          <m:den>
                            <m:sSup>
                              <m:sSupPr>
                                <m:ctrlPr>
                                  <a:rPr lang="en-US" sz="1200" b="1" i="1">
                                    <a:latin typeface="Cambria Math" panose="02040503050406030204" pitchFamily="18" charset="0"/>
                                  </a:rPr>
                                </m:ctrlPr>
                              </m:sSupPr>
                              <m:e>
                                <m:r>
                                  <a:rPr lang="en-US" sz="1200" b="1" i="0">
                                    <a:latin typeface="Cambria Math" panose="02040503050406030204" pitchFamily="18" charset="0"/>
                                  </a:rPr>
                                  <m:t>𝐬</m:t>
                                </m:r>
                              </m:e>
                              <m:sup>
                                <m:r>
                                  <a:rPr lang="en-US" sz="1200" b="1" i="0">
                                    <a:latin typeface="Cambria Math" panose="02040503050406030204" pitchFamily="18" charset="0"/>
                                  </a:rPr>
                                  <m:t>𝟐</m:t>
                                </m:r>
                              </m:sup>
                            </m:sSup>
                          </m:den>
                        </m:f>
                        <m:r>
                          <a:rPr lang="en-US" sz="1200" b="1" i="0">
                            <a:latin typeface="Cambria Math" panose="02040503050406030204" pitchFamily="18" charset="0"/>
                          </a:rPr>
                          <m:t>)</m:t>
                        </m:r>
                      </m:den>
                    </m:f>
                  </m:oMath>
                </m:oMathPara>
              </a14:m>
              <a:endParaRPr lang="en-US" sz="1200" b="1" i="0"/>
            </a:p>
          </xdr:txBody>
        </xdr:sp>
      </mc:Choice>
      <mc:Fallback xmlns="">
        <xdr:sp macro="" textlink="">
          <xdr:nvSpPr>
            <xdr:cNvPr id="6" name="TextBox 5"/>
            <xdr:cNvSpPr txBox="1"/>
          </xdr:nvSpPr>
          <xdr:spPr>
            <a:xfrm>
              <a:off x="1171575" y="5538787"/>
              <a:ext cx="1804084"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1" i="0">
                  <a:latin typeface="Cambria Math" panose="02040503050406030204" pitchFamily="18" charset="0"/>
                </a:rPr>
                <a:t>𝐇_𝐋 𝐌𝐚𝐣𝐨𝐫=𝐟 𝐥/𝐃  𝐕^𝟐/(𝟐(𝟑𝟐.𝟐 𝐟𝐭/𝐬^𝟐 ))</a:t>
              </a:r>
              <a:endParaRPr lang="en-US" sz="1200" b="1" i="0"/>
            </a:p>
          </xdr:txBody>
        </xdr:sp>
      </mc:Fallback>
    </mc:AlternateContent>
    <xdr:clientData/>
  </xdr:oneCellAnchor>
  <xdr:oneCellAnchor>
    <xdr:from>
      <xdr:col>1</xdr:col>
      <xdr:colOff>571500</xdr:colOff>
      <xdr:row>30</xdr:row>
      <xdr:rowOff>14287</xdr:rowOff>
    </xdr:from>
    <xdr:ext cx="1723100" cy="543931"/>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81100" y="6205537"/>
              <a:ext cx="1723100"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𝐌𝐢𝐧𝐨𝐫</m:t>
                    </m:r>
                    <m:r>
                      <a:rPr lang="en-US" sz="1200" b="1" i="0">
                        <a:latin typeface="Cambria Math" panose="02040503050406030204" pitchFamily="18" charset="0"/>
                      </a:rPr>
                      <m:t>=</m:t>
                    </m:r>
                    <m:r>
                      <a:rPr lang="en-US" sz="1200" b="1" i="0">
                        <a:latin typeface="Cambria Math" panose="02040503050406030204" pitchFamily="18" charset="0"/>
                      </a:rPr>
                      <m:t>𝐊</m:t>
                    </m:r>
                    <m:f>
                      <m:fPr>
                        <m:ctrlPr>
                          <a:rPr lang="en-US" sz="1200" b="1" i="1">
                            <a:latin typeface="Cambria Math" panose="02040503050406030204" pitchFamily="18" charset="0"/>
                          </a:rPr>
                        </m:ctrlPr>
                      </m:fPr>
                      <m:num>
                        <m:sSup>
                          <m:sSupPr>
                            <m:ctrlPr>
                              <a:rPr lang="en-US" sz="1200" b="1" i="1">
                                <a:latin typeface="Cambria Math" panose="02040503050406030204" pitchFamily="18" charset="0"/>
                              </a:rPr>
                            </m:ctrlPr>
                          </m:sSupPr>
                          <m:e>
                            <m:r>
                              <a:rPr lang="en-US" sz="1200" b="1" i="0">
                                <a:latin typeface="Cambria Math" panose="02040503050406030204" pitchFamily="18" charset="0"/>
                              </a:rPr>
                              <m:t>𝐕</m:t>
                            </m:r>
                          </m:e>
                          <m:sup>
                            <m:r>
                              <a:rPr lang="en-US" sz="1200" b="1" i="0">
                                <a:latin typeface="Cambria Math" panose="02040503050406030204" pitchFamily="18" charset="0"/>
                              </a:rPr>
                              <m:t>𝟐</m:t>
                            </m:r>
                          </m:sup>
                        </m:sSup>
                      </m:num>
                      <m:den>
                        <m:r>
                          <a:rPr lang="en-US" sz="1200" b="1" i="0">
                            <a:latin typeface="Cambria Math" panose="02040503050406030204" pitchFamily="18" charset="0"/>
                          </a:rPr>
                          <m:t>𝟐</m:t>
                        </m:r>
                        <m:r>
                          <a:rPr lang="en-US" sz="1200" b="1" i="0">
                            <a:latin typeface="Cambria Math" panose="02040503050406030204" pitchFamily="18" charset="0"/>
                          </a:rPr>
                          <m:t>(</m:t>
                        </m:r>
                        <m:r>
                          <a:rPr lang="en-US" sz="1200" b="1" i="0">
                            <a:latin typeface="Cambria Math" panose="02040503050406030204" pitchFamily="18" charset="0"/>
                          </a:rPr>
                          <m:t>𝟑𝟐</m:t>
                        </m:r>
                        <m:r>
                          <a:rPr lang="en-US" sz="1200" b="1" i="0">
                            <a:latin typeface="Cambria Math" panose="02040503050406030204" pitchFamily="18" charset="0"/>
                          </a:rPr>
                          <m:t>.</m:t>
                        </m:r>
                        <m:r>
                          <a:rPr lang="en-US" sz="1200" b="1" i="0">
                            <a:latin typeface="Cambria Math" panose="02040503050406030204" pitchFamily="18" charset="0"/>
                          </a:rPr>
                          <m:t>𝟐</m:t>
                        </m:r>
                        <m:f>
                          <m:fPr>
                            <m:ctrlPr>
                              <a:rPr lang="en-US" sz="1200" b="1" i="1">
                                <a:latin typeface="Cambria Math" panose="02040503050406030204" pitchFamily="18" charset="0"/>
                              </a:rPr>
                            </m:ctrlPr>
                          </m:fPr>
                          <m:num>
                            <m:r>
                              <a:rPr lang="en-US" sz="1200" b="1" i="0">
                                <a:latin typeface="Cambria Math" panose="02040503050406030204" pitchFamily="18" charset="0"/>
                              </a:rPr>
                              <m:t>𝐟𝐭</m:t>
                            </m:r>
                          </m:num>
                          <m:den>
                            <m:sSup>
                              <m:sSupPr>
                                <m:ctrlPr>
                                  <a:rPr lang="en-US" sz="1200" b="1" i="1">
                                    <a:latin typeface="Cambria Math" panose="02040503050406030204" pitchFamily="18" charset="0"/>
                                  </a:rPr>
                                </m:ctrlPr>
                              </m:sSupPr>
                              <m:e>
                                <m:r>
                                  <a:rPr lang="en-US" sz="1200" b="1" i="0">
                                    <a:latin typeface="Cambria Math" panose="02040503050406030204" pitchFamily="18" charset="0"/>
                                  </a:rPr>
                                  <m:t>𝐬</m:t>
                                </m:r>
                              </m:e>
                              <m:sup>
                                <m:r>
                                  <a:rPr lang="en-US" sz="1200" b="1" i="0">
                                    <a:latin typeface="Cambria Math" panose="02040503050406030204" pitchFamily="18" charset="0"/>
                                  </a:rPr>
                                  <m:t>𝟐</m:t>
                                </m:r>
                              </m:sup>
                            </m:sSup>
                          </m:den>
                        </m:f>
                        <m:r>
                          <a:rPr lang="en-US" sz="1200" b="1" i="0">
                            <a:latin typeface="Cambria Math" panose="02040503050406030204" pitchFamily="18" charset="0"/>
                          </a:rPr>
                          <m:t>)</m:t>
                        </m:r>
                      </m:den>
                    </m:f>
                  </m:oMath>
                </m:oMathPara>
              </a14:m>
              <a:endParaRPr lang="en-US" sz="1200" b="1" i="0"/>
            </a:p>
          </xdr:txBody>
        </xdr:sp>
      </mc:Choice>
      <mc:Fallback xmlns="">
        <xdr:sp macro="" textlink="">
          <xdr:nvSpPr>
            <xdr:cNvPr id="8" name="TextBox 7"/>
            <xdr:cNvSpPr txBox="1"/>
          </xdr:nvSpPr>
          <xdr:spPr>
            <a:xfrm>
              <a:off x="1181100" y="6205537"/>
              <a:ext cx="1723100"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1" i="0">
                  <a:latin typeface="Cambria Math" panose="02040503050406030204" pitchFamily="18" charset="0"/>
                </a:rPr>
                <a:t>𝐇_𝐋 𝐌𝐢𝐧𝐨𝐫=𝐊 𝐕^𝟐/(𝟐(𝟑𝟐.𝟐 𝐟𝐭/𝐬^𝟐 ))</a:t>
              </a:r>
              <a:endParaRPr lang="en-US" sz="1200" b="1" i="0"/>
            </a:p>
          </xdr:txBody>
        </xdr:sp>
      </mc:Fallback>
    </mc:AlternateContent>
    <xdr:clientData/>
  </xdr:oneCellAnchor>
  <xdr:oneCellAnchor>
    <xdr:from>
      <xdr:col>1</xdr:col>
      <xdr:colOff>561975</xdr:colOff>
      <xdr:row>33</xdr:row>
      <xdr:rowOff>109537</xdr:rowOff>
    </xdr:from>
    <xdr:ext cx="2418867"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171575" y="6872287"/>
              <a:ext cx="2418867"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1" i="0">
                        <a:latin typeface="Cambria Math" panose="02040503050406030204" pitchFamily="18" charset="0"/>
                      </a:rPr>
                      <m:t>𝐇𝐞𝐚𝐝𝐥𝐨𝐬𝐬</m:t>
                    </m:r>
                    <m:r>
                      <a:rPr lang="en-US" sz="1200" b="1" i="0">
                        <a:latin typeface="Cambria Math" panose="02040503050406030204" pitchFamily="18" charset="0"/>
                      </a:rPr>
                      <m:t>= </m:t>
                    </m:r>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𝐌𝐚𝐣𝐨𝐫</m:t>
                    </m:r>
                    <m:r>
                      <a:rPr lang="en-US" sz="1200" b="1" i="0">
                        <a:latin typeface="Cambria Math" panose="02040503050406030204" pitchFamily="18" charset="0"/>
                      </a:rPr>
                      <m:t>+ </m:t>
                    </m:r>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𝐌𝐢𝐧𝐨𝐫</m:t>
                    </m:r>
                    <m:r>
                      <a:rPr lang="en-US" sz="1200" b="1" i="0">
                        <a:latin typeface="Cambria Math" panose="02040503050406030204" pitchFamily="18" charset="0"/>
                      </a:rPr>
                      <m:t> </m:t>
                    </m:r>
                  </m:oMath>
                </m:oMathPara>
              </a14:m>
              <a:endParaRPr lang="en-US" sz="1200" b="1" i="0"/>
            </a:p>
          </xdr:txBody>
        </xdr:sp>
      </mc:Choice>
      <mc:Fallback xmlns="">
        <xdr:sp macro="" textlink="">
          <xdr:nvSpPr>
            <xdr:cNvPr id="9" name="TextBox 8"/>
            <xdr:cNvSpPr txBox="1"/>
          </xdr:nvSpPr>
          <xdr:spPr>
            <a:xfrm>
              <a:off x="1171575" y="6872287"/>
              <a:ext cx="2418867"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1" i="0">
                  <a:latin typeface="Cambria Math" panose="02040503050406030204" pitchFamily="18" charset="0"/>
                </a:rPr>
                <a:t>𝐇𝐞𝐚𝐝𝐥𝐨𝐬𝐬= 𝐇_𝐋 𝐌𝐚𝐣𝐨𝐫+ 𝐇_𝐋 𝐌𝐢𝐧𝐨𝐫 </a:t>
              </a:r>
              <a:endParaRPr lang="en-US" sz="1200" b="1" i="0"/>
            </a:p>
          </xdr:txBody>
        </xdr:sp>
      </mc:Fallback>
    </mc:AlternateContent>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E60"/>
  <sheetViews>
    <sheetView showGridLines="0" tabSelected="1" workbookViewId="0">
      <selection activeCell="A9" sqref="A9"/>
    </sheetView>
  </sheetViews>
  <sheetFormatPr defaultRowHeight="14.4" x14ac:dyDescent="0.3"/>
  <cols>
    <col min="3" max="3" width="10.44140625" bestFit="1" customWidth="1"/>
    <col min="4" max="4" width="10.6640625" customWidth="1"/>
  </cols>
  <sheetData>
    <row r="9" spans="1:5" x14ac:dyDescent="0.3">
      <c r="A9" s="1" t="s">
        <v>15</v>
      </c>
    </row>
    <row r="12" spans="1:5" x14ac:dyDescent="0.3">
      <c r="C12" s="2" t="s">
        <v>0</v>
      </c>
      <c r="D12" s="3">
        <v>123</v>
      </c>
      <c r="E12" t="s">
        <v>9</v>
      </c>
    </row>
    <row r="13" spans="1:5" x14ac:dyDescent="0.3">
      <c r="C13" s="2" t="s">
        <v>1</v>
      </c>
      <c r="D13" s="3">
        <v>26</v>
      </c>
      <c r="E13" t="s">
        <v>10</v>
      </c>
    </row>
    <row r="14" spans="1:5" x14ac:dyDescent="0.3">
      <c r="C14" s="2" t="s">
        <v>2</v>
      </c>
      <c r="D14" s="3">
        <v>250</v>
      </c>
      <c r="E14" t="s">
        <v>11</v>
      </c>
    </row>
    <row r="15" spans="1:5" x14ac:dyDescent="0.3">
      <c r="C15" s="2" t="s">
        <v>5</v>
      </c>
      <c r="D15" s="3">
        <v>0.2</v>
      </c>
    </row>
    <row r="16" spans="1:5" x14ac:dyDescent="0.3">
      <c r="C16" s="2" t="s">
        <v>6</v>
      </c>
      <c r="D16" s="3">
        <v>150</v>
      </c>
      <c r="E16" t="s">
        <v>11</v>
      </c>
    </row>
    <row r="17" spans="2:5" x14ac:dyDescent="0.3">
      <c r="C17" s="2" t="s">
        <v>7</v>
      </c>
      <c r="D17" s="3">
        <v>2</v>
      </c>
      <c r="E17" t="s">
        <v>11</v>
      </c>
    </row>
    <row r="18" spans="2:5" x14ac:dyDescent="0.3">
      <c r="C18" s="2" t="s">
        <v>8</v>
      </c>
      <c r="D18" s="3">
        <v>1.5</v>
      </c>
    </row>
    <row r="19" spans="2:5" ht="15" thickBot="1" x14ac:dyDescent="0.35"/>
    <row r="20" spans="2:5" ht="15" thickBot="1" x14ac:dyDescent="0.35">
      <c r="B20" s="8" t="s">
        <v>14</v>
      </c>
      <c r="C20" s="4" t="s">
        <v>4</v>
      </c>
      <c r="D20" s="5"/>
    </row>
    <row r="21" spans="2:5" x14ac:dyDescent="0.3">
      <c r="C21" s="6" t="s">
        <v>12</v>
      </c>
      <c r="D21" s="7">
        <f>head(D12,D13,D14,D15,D16,D17,D18,C20)</f>
        <v>89.269290492116582</v>
      </c>
      <c r="E21" t="str">
        <f>IF($C$20="Metric","[m]","[ft]")</f>
        <v>[ft]</v>
      </c>
    </row>
    <row r="22" spans="2:5" x14ac:dyDescent="0.3">
      <c r="C22" s="6" t="s">
        <v>13</v>
      </c>
      <c r="D22" s="7">
        <f>headloss(D15,D16,D17,D18,D13,C20)</f>
        <v>173.19875776397515</v>
      </c>
      <c r="E22" t="str">
        <f t="shared" ref="E22" si="0">IF($C$20="Metric","[m]","[ft]")</f>
        <v>[ft]</v>
      </c>
    </row>
    <row r="59" spans="1:1" x14ac:dyDescent="0.3">
      <c r="A59" t="s">
        <v>3</v>
      </c>
    </row>
    <row r="60" spans="1:1" x14ac:dyDescent="0.3">
      <c r="A60" t="s">
        <v>4</v>
      </c>
    </row>
  </sheetData>
  <dataValidations count="1">
    <dataValidation type="list" allowBlank="1" showInputMessage="1" showErrorMessage="1" sqref="C20" xr:uid="{00000000-0002-0000-0000-000000000000}">
      <formula1>$A$59:$A$60</formula1>
    </dataValidation>
  </dataValidations>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2021-05-19T21:07:29Z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