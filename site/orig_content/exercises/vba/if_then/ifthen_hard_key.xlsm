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J:\groups\ce170\www\syllabus\vbaprimer\exercises\vba\if_then\"/>
    </mc:Choice>
  </mc:AlternateContent>
  <xr:revisionPtr revIDLastSave="0" documentId="13_ncr:1_{A67EACA8-AE9B-44F6-BE84-535349517A8E}" xr6:coauthVersionLast="46" xr6:coauthVersionMax="46" xr10:uidLastSave="{00000000-0000-0000-0000-000000000000}"/>
  <bookViews>
    <workbookView xWindow="-108" yWindow="1512" windowWidth="23256" windowHeight="10956" xr2:uid="{00000000-000D-0000-FFFF-FFFF00000000}"/>
  </bookViews>
  <sheets>
    <sheet name="Sheet1" sheetId="1" r:id="rId1"/>
  </sheets>
  <definedNames>
    <definedName name="Discount">Sheet1!$I$22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Subtotal">Sheet1!$I$24</definedName>
    <definedName name="Tax">Sheet1!$I$23</definedName>
    <definedName name="Total">Sheet1!$I$21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7" i="1" l="1"/>
  <c r="I18" i="1"/>
  <c r="I19" i="1"/>
  <c r="I20" i="1"/>
  <c r="I14" i="1"/>
  <c r="I15" i="1"/>
  <c r="I16" i="1"/>
  <c r="I13" i="1"/>
  <c r="I21" i="1" s="1"/>
  <c r="I22" i="1" s="1"/>
</calcChain>
</file>

<file path=xl/sharedStrings.xml><?xml version="1.0" encoding="utf-8"?>
<sst xmlns="http://schemas.openxmlformats.org/spreadsheetml/2006/main" count="16" uniqueCount="15">
  <si>
    <t>Cost</t>
  </si>
  <si>
    <t>Number</t>
  </si>
  <si>
    <t>Total</t>
  </si>
  <si>
    <t>Item</t>
  </si>
  <si>
    <t>Stakes</t>
  </si>
  <si>
    <t>2x4</t>
  </si>
  <si>
    <t>6' .526" Rebar</t>
  </si>
  <si>
    <t>Tax</t>
  </si>
  <si>
    <t>40lb Bag Quick Dry Cement</t>
  </si>
  <si>
    <t>Gloves (pr)</t>
  </si>
  <si>
    <t>Discount</t>
  </si>
  <si>
    <t>20% off if over $500</t>
  </si>
  <si>
    <t>Subtotal</t>
  </si>
  <si>
    <t>String line 30 ft</t>
  </si>
  <si>
    <t>CCE 170 - Brigham Young University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</si>
</sst>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4" formatCode="_(&quot;$&quot;* #,##0.00_);_(&quot;$&quot;* \(#,##0.00\);_(&quot;$&quot;* &quot;-&quot;??_);_(@_)"/>
  </numFmts>
  <fonts count="3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24"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2" xfId="0" applyBorder="1"/>
    <xf numFmtId="44" fontId="0" fillId="0" borderId="2" xfId="1" applyFont="1" applyBorder="1"/>
    <xf numFmtId="0" fontId="0" fillId="0" borderId="3" xfId="0" applyBorder="1"/>
    <xf numFmtId="0" fontId="0" fillId="0" borderId="0" xfId="0" applyBorder="1"/>
    <xf numFmtId="44" fontId="0" fillId="0" borderId="0" xfId="1" applyFont="1" applyBorder="1"/>
    <xf numFmtId="44" fontId="0" fillId="0" borderId="4" xfId="1" applyFont="1" applyBorder="1"/>
    <xf numFmtId="0" fontId="0" fillId="0" borderId="0" xfId="0" applyFill="1" applyBorder="1"/>
    <xf numFmtId="0" fontId="0" fillId="0" borderId="5" xfId="0" applyBorder="1"/>
    <xf numFmtId="44" fontId="0" fillId="0" borderId="5" xfId="1" applyFont="1" applyBorder="1"/>
    <xf numFmtId="4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3" borderId="0" xfId="0" applyFill="1" applyBorder="1"/>
    <xf numFmtId="0" fontId="0" fillId="3" borderId="0" xfId="0" applyFill="1" applyBorder="1" applyAlignment="1">
      <alignment horizontal="center"/>
    </xf>
    <xf numFmtId="0" fontId="0" fillId="0" borderId="11" xfId="0" applyBorder="1"/>
    <xf numFmtId="0" fontId="0" fillId="0" borderId="12" xfId="0" applyBorder="1"/>
    <xf numFmtId="10" fontId="0" fillId="0" borderId="5" xfId="0" applyNumberFormat="1" applyBorder="1" applyAlignment="1">
      <alignment horizontal="left"/>
    </xf>
    <xf numFmtId="44" fontId="0" fillId="2" borderId="0" xfId="1" applyFont="1" applyFill="1" applyBorder="1"/>
  </cellXfs>
  <cellStyles count="2">
    <cellStyle name="Currency" xfId="1" builtinId="4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238126</xdr:colOff>
      <xdr:row>0</xdr:row>
      <xdr:rowOff>95250</xdr:rowOff>
    </xdr:from>
    <xdr:to>
      <xdr:col>9</xdr:col>
      <xdr:colOff>219076</xdr:colOff>
      <xdr:row>6</xdr:row>
      <xdr:rowOff>171450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38126" y="95250"/>
          <a:ext cx="5467350" cy="1219200"/>
        </a:xfrm>
        <a:prstGeom prst="rect">
          <a:avLst/>
        </a:prstGeom>
        <a:solidFill>
          <a:schemeClr val="accent1">
            <a:lumMod val="50000"/>
          </a:schemeClr>
        </a:solidFill>
        <a:ln w="28575">
          <a:solidFill>
            <a:schemeClr val="bg2">
              <a:lumMod val="50000"/>
            </a:schemeClr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4800" b="1"/>
            <a:t>If Then</a:t>
          </a:r>
        </a:p>
      </xdr:txBody>
    </xdr:sp>
    <xdr:clientData/>
  </xdr:twoCellAnchor>
  <xdr:twoCellAnchor>
    <xdr:from>
      <xdr:col>10</xdr:col>
      <xdr:colOff>209550</xdr:colOff>
      <xdr:row>8</xdr:row>
      <xdr:rowOff>114299</xdr:rowOff>
    </xdr:from>
    <xdr:to>
      <xdr:col>17</xdr:col>
      <xdr:colOff>152400</xdr:colOff>
      <xdr:row>33</xdr:row>
      <xdr:rowOff>76199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6486525" y="1638299"/>
          <a:ext cx="4210050" cy="4752975"/>
        </a:xfrm>
        <a:prstGeom prst="rect">
          <a:avLst/>
        </a:prstGeom>
        <a:ln w="28575">
          <a:solidFill>
            <a:srgbClr val="FFC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Step</a:t>
          </a:r>
          <a:r>
            <a:rPr lang="en-US" sz="1100" baseline="0"/>
            <a:t> 1: Fill in the </a:t>
          </a:r>
          <a:r>
            <a:rPr lang="en-US" sz="1100" b="1" baseline="0"/>
            <a:t>Total Column </a:t>
          </a:r>
          <a:r>
            <a:rPr lang="en-US" sz="1100" baseline="0"/>
            <a:t>by multiplying the number of items by the cost. </a:t>
          </a:r>
        </a:p>
        <a:p>
          <a:endParaRPr lang="en-US" sz="1100" baseline="0"/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/>
            <a:t>Step 2: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Solve for the 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Total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by summing the 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Total Column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Solve for the 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Discount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by writing an IN CELL If Statement (Not VBA). This should be a 20% price value of the 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Total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if the 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Total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exceeds $500. If under $500, then this value should be 0.</a:t>
          </a:r>
          <a:endParaRPr lang="en-US">
            <a:effectLst/>
          </a:endParaRPr>
        </a:p>
        <a:p>
          <a:endParaRPr lang="en-US" sz="1100" baseline="0"/>
        </a:p>
        <a:p>
          <a:r>
            <a:rPr lang="en-US" sz="1100" baseline="0"/>
            <a:t>Step 2: Double click on the </a:t>
          </a:r>
          <a:r>
            <a:rPr lang="en-US" sz="1100" b="1" baseline="0"/>
            <a:t>Compute Button </a:t>
          </a:r>
          <a:r>
            <a:rPr lang="en-US" sz="1100" baseline="0"/>
            <a:t>to bring up its VB subroutine. </a:t>
          </a:r>
        </a:p>
        <a:p>
          <a:endParaRPr lang="en-US" sz="1100" baseline="0"/>
        </a:p>
        <a:p>
          <a:r>
            <a:rPr lang="en-US" sz="1100" baseline="0"/>
            <a:t>Step 3: Declare 4 </a:t>
          </a:r>
          <a:r>
            <a:rPr lang="en-US" sz="1100" b="1" baseline="0"/>
            <a:t>variables</a:t>
          </a:r>
          <a:r>
            <a:rPr lang="en-US" sz="1100" baseline="0"/>
            <a:t> named </a:t>
          </a:r>
          <a:r>
            <a:rPr lang="en-US" sz="1100" b="1" baseline="0"/>
            <a:t>Total</a:t>
          </a:r>
          <a:r>
            <a:rPr lang="en-US" sz="1100" baseline="0"/>
            <a:t>, </a:t>
          </a:r>
          <a:r>
            <a:rPr lang="en-US" sz="1100" b="1" baseline="0"/>
            <a:t>Subtotal</a:t>
          </a:r>
          <a:r>
            <a:rPr lang="en-US" sz="1100" baseline="0"/>
            <a:t>, </a:t>
          </a:r>
          <a:r>
            <a:rPr lang="en-US" sz="1100" b="1" baseline="0"/>
            <a:t>Discount</a:t>
          </a:r>
          <a:r>
            <a:rPr lang="en-US" sz="1100" baseline="0"/>
            <a:t> and </a:t>
          </a:r>
          <a:r>
            <a:rPr lang="en-US" sz="1100" b="1" baseline="0"/>
            <a:t>Tax</a:t>
          </a:r>
          <a:r>
            <a:rPr lang="en-US" sz="1100" baseline="0"/>
            <a:t> as </a:t>
          </a:r>
          <a:r>
            <a:rPr lang="en-US" sz="1100" b="1" baseline="0"/>
            <a:t>doubles</a:t>
          </a:r>
          <a:r>
            <a:rPr lang="en-US" sz="1100" baseline="0"/>
            <a:t>.</a:t>
          </a:r>
        </a:p>
        <a:p>
          <a:endParaRPr lang="en-US" sz="1100" baseline="0"/>
        </a:p>
        <a:p>
          <a:r>
            <a:rPr lang="en-US" sz="1100" baseline="0"/>
            <a:t>Step 4:  Insert the values for the appropriate cells into the variables </a:t>
          </a:r>
          <a:r>
            <a:rPr lang="en-US" sz="1100" b="1" baseline="0"/>
            <a:t>Total</a:t>
          </a:r>
          <a:r>
            <a:rPr lang="en-US" sz="1100" baseline="0"/>
            <a:t> and </a:t>
          </a:r>
          <a:r>
            <a:rPr lang="en-US" sz="1100" b="1" baseline="0"/>
            <a:t>Discount</a:t>
          </a:r>
          <a:r>
            <a:rPr lang="en-US" sz="1100" baseline="0"/>
            <a:t>.</a:t>
          </a:r>
        </a:p>
        <a:p>
          <a:endParaRPr lang="en-US" sz="1100" baseline="0"/>
        </a:p>
        <a:p>
          <a:r>
            <a:rPr lang="en-US" sz="1100" baseline="0"/>
            <a:t>Step 5: Solve for the </a:t>
          </a:r>
          <a:r>
            <a:rPr lang="en-US" sz="1100" b="1" baseline="0"/>
            <a:t>Tax</a:t>
          </a:r>
          <a:r>
            <a:rPr lang="en-US" sz="1100" baseline="0"/>
            <a:t> variable using the </a:t>
          </a:r>
          <a:r>
            <a:rPr lang="en-US" sz="1100" b="1" baseline="0"/>
            <a:t>Total</a:t>
          </a:r>
          <a:r>
            <a:rPr lang="en-US" sz="1100" baseline="0"/>
            <a:t>, </a:t>
          </a:r>
          <a:r>
            <a:rPr lang="en-US" sz="1100" b="1" baseline="0"/>
            <a:t>Discount</a:t>
          </a:r>
          <a:r>
            <a:rPr lang="en-US" sz="1100" baseline="0"/>
            <a:t> and given tax percentage.</a:t>
          </a:r>
        </a:p>
        <a:p>
          <a:endParaRPr lang="en-US" sz="1100" baseline="0"/>
        </a:p>
        <a:p>
          <a:r>
            <a:rPr lang="en-US" sz="1100" baseline="0"/>
            <a:t>Step 6: Write an If statement that checks to see if the </a:t>
          </a:r>
          <a:r>
            <a:rPr lang="en-US" sz="1100" b="1" baseline="0"/>
            <a:t>Include Tax </a:t>
          </a:r>
          <a:r>
            <a:rPr lang="en-US" sz="1100" b="0" baseline="0"/>
            <a:t>c</a:t>
          </a:r>
          <a:r>
            <a:rPr lang="en-US" sz="1100" baseline="0"/>
            <a:t>heck box is checked. If so, equate for the </a:t>
          </a:r>
          <a:r>
            <a:rPr lang="en-US" sz="1100" b="1" baseline="0"/>
            <a:t>Subtotal</a:t>
          </a:r>
          <a:r>
            <a:rPr lang="en-US" sz="1100" baseline="0"/>
            <a:t> by applying the </a:t>
          </a:r>
          <a:r>
            <a:rPr lang="en-US" sz="1100" b="1" baseline="0"/>
            <a:t>Discount</a:t>
          </a:r>
          <a:r>
            <a:rPr lang="en-US" sz="1100" baseline="0"/>
            <a:t> and </a:t>
          </a:r>
          <a:r>
            <a:rPr lang="en-US" sz="1100" b="1" baseline="0"/>
            <a:t>Tax</a:t>
          </a:r>
          <a:r>
            <a:rPr lang="en-US" sz="1100" baseline="0"/>
            <a:t>. Show the </a:t>
          </a:r>
          <a:r>
            <a:rPr lang="en-US" sz="1100" b="1" baseline="0"/>
            <a:t>Tax</a:t>
          </a:r>
          <a:r>
            <a:rPr lang="en-US" sz="1100" baseline="0"/>
            <a:t> and </a:t>
          </a:r>
          <a:r>
            <a:rPr lang="en-US" sz="1100" b="1" baseline="0"/>
            <a:t>Subtotal</a:t>
          </a:r>
          <a:r>
            <a:rPr lang="en-US" sz="1100" baseline="0"/>
            <a:t> values in the appropriate cells. If the </a:t>
          </a:r>
          <a:r>
            <a:rPr lang="en-US" sz="1100" b="1" baseline="0"/>
            <a:t>Include Tax </a:t>
          </a:r>
          <a:r>
            <a:rPr lang="en-US" sz="1100" baseline="0"/>
            <a:t>check box is not checked. Show 0 for the tax and equate the </a:t>
          </a:r>
          <a:r>
            <a:rPr lang="en-US" sz="1100" b="1" baseline="0"/>
            <a:t>Subtotal</a:t>
          </a:r>
          <a:r>
            <a:rPr lang="en-US" sz="1100" baseline="0"/>
            <a:t> with just the D</a:t>
          </a:r>
          <a:r>
            <a:rPr lang="en-US" sz="1100" b="1" baseline="0"/>
            <a:t>iscount </a:t>
          </a:r>
          <a:r>
            <a:rPr lang="en-US" sz="1100" b="0" baseline="0"/>
            <a:t>applied</a:t>
          </a:r>
          <a:r>
            <a:rPr lang="en-US" sz="1100" baseline="0"/>
            <a:t>. </a:t>
          </a:r>
        </a:p>
        <a:p>
          <a:endParaRPr lang="en-US" sz="1100" baseline="0"/>
        </a:p>
        <a:p>
          <a:r>
            <a:rPr lang="en-US" sz="1100" baseline="0"/>
            <a:t>Step 7: Check your code.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25</xdr:row>
          <xdr:rowOff>22860</xdr:rowOff>
        </xdr:from>
        <xdr:to>
          <xdr:col>5</xdr:col>
          <xdr:colOff>297180</xdr:colOff>
          <xdr:row>26</xdr:row>
          <xdr:rowOff>137160</xdr:rowOff>
        </xdr:to>
        <xdr:sp macro="" textlink="">
          <xdr:nvSpPr>
            <xdr:cNvPr id="1025" name="chk_tax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228600</xdr:colOff>
          <xdr:row>27</xdr:row>
          <xdr:rowOff>60960</xdr:rowOff>
        </xdr:from>
        <xdr:to>
          <xdr:col>5</xdr:col>
          <xdr:colOff>373380</xdr:colOff>
          <xdr:row>30</xdr:row>
          <xdr:rowOff>45720</xdr:rowOff>
        </xdr:to>
        <xdr:sp macro="" textlink="">
          <xdr:nvSpPr>
            <xdr:cNvPr id="1027" name="cmd_Comput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9:M32"/>
  <sheetViews>
    <sheetView showGridLines="0" tabSelected="1" workbookViewId="0">
      <selection activeCell="A9" sqref="A9"/>
    </sheetView>
  </sheetViews>
  <sheetFormatPr defaultRowHeight="14.4" x14ac:dyDescent="0.3"/>
  <cols>
    <col min="9" max="9" width="11.88671875" customWidth="1"/>
  </cols>
  <sheetData>
    <row r="9" spans="1:10" ht="15" thickBot="1" x14ac:dyDescent="0.35">
      <c r="A9" s="1" t="s">
        <v>14</v>
      </c>
    </row>
    <row r="10" spans="1:10" x14ac:dyDescent="0.3">
      <c r="B10" s="13"/>
      <c r="C10" s="14"/>
      <c r="D10" s="14"/>
      <c r="E10" s="14"/>
      <c r="F10" s="14"/>
      <c r="G10" s="14"/>
      <c r="H10" s="14"/>
      <c r="I10" s="14"/>
      <c r="J10" s="15"/>
    </row>
    <row r="11" spans="1:10" x14ac:dyDescent="0.3">
      <c r="B11" s="16"/>
      <c r="C11" s="6"/>
      <c r="D11" s="6"/>
      <c r="E11" s="6"/>
      <c r="F11" s="6"/>
      <c r="G11" s="6"/>
      <c r="H11" s="6"/>
      <c r="I11" s="6"/>
      <c r="J11" s="17"/>
    </row>
    <row r="12" spans="1:10" x14ac:dyDescent="0.3">
      <c r="B12" s="16"/>
      <c r="C12" s="18" t="s">
        <v>3</v>
      </c>
      <c r="D12" s="18"/>
      <c r="E12" s="18"/>
      <c r="F12" s="18"/>
      <c r="G12" s="19" t="s">
        <v>1</v>
      </c>
      <c r="H12" s="19" t="s">
        <v>0</v>
      </c>
      <c r="I12" s="19" t="s">
        <v>2</v>
      </c>
      <c r="J12" s="17"/>
    </row>
    <row r="13" spans="1:10" x14ac:dyDescent="0.3">
      <c r="B13" s="16"/>
      <c r="C13" s="2" t="s">
        <v>9</v>
      </c>
      <c r="D13" s="3"/>
      <c r="E13" s="3"/>
      <c r="F13" s="3"/>
      <c r="G13" s="3">
        <v>4</v>
      </c>
      <c r="H13" s="4">
        <v>4.99</v>
      </c>
      <c r="I13" s="8">
        <f>H13*G13</f>
        <v>19.96</v>
      </c>
      <c r="J13" s="17"/>
    </row>
    <row r="14" spans="1:10" x14ac:dyDescent="0.3">
      <c r="B14" s="16"/>
      <c r="C14" s="5" t="s">
        <v>4</v>
      </c>
      <c r="D14" s="6"/>
      <c r="E14" s="6"/>
      <c r="F14" s="6"/>
      <c r="G14" s="6">
        <v>30</v>
      </c>
      <c r="H14" s="7">
        <v>1.25</v>
      </c>
      <c r="I14" s="8">
        <f t="shared" ref="I14:I20" si="0">H14*G14</f>
        <v>37.5</v>
      </c>
      <c r="J14" s="17"/>
    </row>
    <row r="15" spans="1:10" x14ac:dyDescent="0.3">
      <c r="B15" s="16"/>
      <c r="C15" s="5" t="s">
        <v>13</v>
      </c>
      <c r="D15" s="6"/>
      <c r="E15" s="6"/>
      <c r="F15" s="6"/>
      <c r="G15" s="6">
        <v>1</v>
      </c>
      <c r="H15" s="7">
        <v>12.75</v>
      </c>
      <c r="I15" s="8">
        <f t="shared" si="0"/>
        <v>12.75</v>
      </c>
      <c r="J15" s="17"/>
    </row>
    <row r="16" spans="1:10" x14ac:dyDescent="0.3">
      <c r="B16" s="16"/>
      <c r="C16" s="5" t="s">
        <v>5</v>
      </c>
      <c r="D16" s="6"/>
      <c r="E16" s="6"/>
      <c r="F16" s="6"/>
      <c r="G16" s="6">
        <v>10</v>
      </c>
      <c r="H16" s="7">
        <v>6</v>
      </c>
      <c r="I16" s="8">
        <f t="shared" si="0"/>
        <v>60</v>
      </c>
      <c r="J16" s="17"/>
    </row>
    <row r="17" spans="2:13" x14ac:dyDescent="0.3">
      <c r="B17" s="16"/>
      <c r="C17" s="5" t="s">
        <v>8</v>
      </c>
      <c r="D17" s="6"/>
      <c r="E17" s="6"/>
      <c r="F17" s="6"/>
      <c r="G17" s="6">
        <v>20</v>
      </c>
      <c r="H17" s="7">
        <v>24</v>
      </c>
      <c r="I17" s="8">
        <f t="shared" si="0"/>
        <v>480</v>
      </c>
      <c r="J17" s="17"/>
    </row>
    <row r="18" spans="2:13" x14ac:dyDescent="0.3">
      <c r="B18" s="16"/>
      <c r="C18" s="5" t="s">
        <v>6</v>
      </c>
      <c r="D18" s="6"/>
      <c r="E18" s="6"/>
      <c r="F18" s="6"/>
      <c r="G18" s="6">
        <v>14</v>
      </c>
      <c r="H18" s="7">
        <v>9.5</v>
      </c>
      <c r="I18" s="8">
        <f t="shared" si="0"/>
        <v>133</v>
      </c>
      <c r="J18" s="17"/>
    </row>
    <row r="19" spans="2:13" x14ac:dyDescent="0.3">
      <c r="B19" s="16"/>
      <c r="C19" s="5"/>
      <c r="D19" s="6"/>
      <c r="E19" s="6"/>
      <c r="F19" s="6"/>
      <c r="G19" s="6"/>
      <c r="H19" s="7"/>
      <c r="I19" s="8">
        <f t="shared" si="0"/>
        <v>0</v>
      </c>
      <c r="J19" s="17"/>
    </row>
    <row r="20" spans="2:13" x14ac:dyDescent="0.3">
      <c r="B20" s="16"/>
      <c r="C20" s="5"/>
      <c r="D20" s="6"/>
      <c r="E20" s="6"/>
      <c r="F20" s="6"/>
      <c r="G20" s="6"/>
      <c r="H20" s="7"/>
      <c r="I20" s="8">
        <f t="shared" si="0"/>
        <v>0</v>
      </c>
      <c r="J20" s="17"/>
    </row>
    <row r="21" spans="2:13" x14ac:dyDescent="0.3">
      <c r="B21" s="16"/>
      <c r="C21" s="3" t="s">
        <v>2</v>
      </c>
      <c r="D21" s="3"/>
      <c r="E21" s="3"/>
      <c r="F21" s="3"/>
      <c r="G21" s="3"/>
      <c r="H21" s="3"/>
      <c r="I21" s="4">
        <f>SUM(I13:I20)</f>
        <v>743.21</v>
      </c>
      <c r="J21" s="17"/>
    </row>
    <row r="22" spans="2:13" x14ac:dyDescent="0.3">
      <c r="B22" s="16"/>
      <c r="C22" s="6" t="s">
        <v>10</v>
      </c>
      <c r="D22" s="6"/>
      <c r="E22" s="6" t="s">
        <v>11</v>
      </c>
      <c r="F22" s="6"/>
      <c r="G22" s="6"/>
      <c r="H22" s="6"/>
      <c r="I22" s="7">
        <f>IF(I21&gt;500,I21*0.2,0)</f>
        <v>148.64200000000002</v>
      </c>
      <c r="J22" s="17"/>
    </row>
    <row r="23" spans="2:13" ht="15" thickBot="1" x14ac:dyDescent="0.35">
      <c r="B23" s="16"/>
      <c r="C23" s="10" t="s">
        <v>7</v>
      </c>
      <c r="D23" s="10"/>
      <c r="E23" s="22">
        <v>3.1399999999999997E-2</v>
      </c>
      <c r="F23" s="10"/>
      <c r="G23" s="10"/>
      <c r="H23" s="10"/>
      <c r="I23" s="11">
        <v>18.669435199999999</v>
      </c>
      <c r="J23" s="17"/>
    </row>
    <row r="24" spans="2:13" x14ac:dyDescent="0.3">
      <c r="B24" s="16"/>
      <c r="C24" s="9" t="s">
        <v>12</v>
      </c>
      <c r="D24" s="6"/>
      <c r="E24" s="6"/>
      <c r="F24" s="6"/>
      <c r="G24" s="6"/>
      <c r="H24" s="6"/>
      <c r="I24" s="23">
        <v>613.23743520000005</v>
      </c>
      <c r="J24" s="17"/>
    </row>
    <row r="25" spans="2:13" x14ac:dyDescent="0.3">
      <c r="B25" s="16"/>
      <c r="C25" s="6"/>
      <c r="D25" s="6"/>
      <c r="E25" s="6"/>
      <c r="F25" s="6"/>
      <c r="G25" s="6"/>
      <c r="H25" s="6"/>
      <c r="I25" s="6"/>
      <c r="J25" s="17"/>
    </row>
    <row r="26" spans="2:13" x14ac:dyDescent="0.3">
      <c r="B26" s="16"/>
      <c r="C26" s="6"/>
      <c r="D26" s="6"/>
      <c r="E26" s="6"/>
      <c r="F26" s="6"/>
      <c r="G26" s="6"/>
      <c r="H26" s="6"/>
      <c r="I26" s="6"/>
      <c r="J26" s="17"/>
    </row>
    <row r="27" spans="2:13" x14ac:dyDescent="0.3">
      <c r="B27" s="16"/>
      <c r="C27" s="6"/>
      <c r="D27" s="6"/>
      <c r="E27" s="6"/>
      <c r="F27" s="6"/>
      <c r="G27" s="6"/>
      <c r="H27" s="6"/>
      <c r="I27" s="6"/>
      <c r="J27" s="17"/>
    </row>
    <row r="28" spans="2:13" x14ac:dyDescent="0.3">
      <c r="B28" s="16"/>
      <c r="C28" s="6"/>
      <c r="D28" s="6"/>
      <c r="E28" s="6"/>
      <c r="F28" s="6"/>
      <c r="G28" s="6"/>
      <c r="H28" s="6"/>
      <c r="I28" s="6"/>
      <c r="J28" s="17"/>
    </row>
    <row r="29" spans="2:13" x14ac:dyDescent="0.3">
      <c r="B29" s="16"/>
      <c r="C29" s="6"/>
      <c r="D29" s="6"/>
      <c r="E29" s="6"/>
      <c r="F29" s="6"/>
      <c r="G29" s="6"/>
      <c r="H29" s="6"/>
      <c r="I29" s="6"/>
      <c r="J29" s="17"/>
    </row>
    <row r="30" spans="2:13" x14ac:dyDescent="0.3">
      <c r="B30" s="16"/>
      <c r="C30" s="6"/>
      <c r="D30" s="6"/>
      <c r="E30" s="6"/>
      <c r="F30" s="6"/>
      <c r="G30" s="6"/>
      <c r="H30" s="6"/>
      <c r="I30" s="6"/>
      <c r="J30" s="17"/>
    </row>
    <row r="31" spans="2:13" x14ac:dyDescent="0.3">
      <c r="B31" s="16"/>
      <c r="C31" s="6"/>
      <c r="D31" s="6"/>
      <c r="E31" s="6"/>
      <c r="F31" s="6"/>
      <c r="G31" s="6"/>
      <c r="H31" s="6"/>
      <c r="I31" s="6"/>
      <c r="J31" s="17"/>
      <c r="M31" s="12"/>
    </row>
    <row r="32" spans="2:13" ht="15" thickBot="1" x14ac:dyDescent="0.35">
      <c r="B32" s="20"/>
      <c r="C32" s="10"/>
      <c r="D32" s="10"/>
      <c r="E32" s="10"/>
      <c r="F32" s="10"/>
      <c r="G32" s="10"/>
      <c r="H32" s="10"/>
      <c r="I32" s="10"/>
      <c r="J32" s="21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7" r:id="rId3" name="cmd_Compute">
          <controlPr defaultSize="0" autoLine="0" r:id="rId4">
            <anchor moveWithCells="1">
              <from>
                <xdr:col>2</xdr:col>
                <xdr:colOff>228600</xdr:colOff>
                <xdr:row>27</xdr:row>
                <xdr:rowOff>60960</xdr:rowOff>
              </from>
              <to>
                <xdr:col>5</xdr:col>
                <xdr:colOff>373380</xdr:colOff>
                <xdr:row>30</xdr:row>
                <xdr:rowOff>45720</xdr:rowOff>
              </to>
            </anchor>
          </controlPr>
        </control>
      </mc:Choice>
      <mc:Fallback>
        <control shapeId="1027" r:id="rId3" name="cmd_Compute"/>
      </mc:Fallback>
    </mc:AlternateContent>
    <mc:AlternateContent xmlns:mc="http://schemas.openxmlformats.org/markup-compatibility/2006">
      <mc:Choice Requires="x14">
        <control shapeId="1025" r:id="rId5" name="chk_tax">
          <controlPr defaultSize="0" autoLine="0" r:id="rId6">
            <anchor moveWithCells="1">
              <from>
                <xdr:col>2</xdr:col>
                <xdr:colOff>137160</xdr:colOff>
                <xdr:row>25</xdr:row>
                <xdr:rowOff>22860</xdr:rowOff>
              </from>
              <to>
                <xdr:col>5</xdr:col>
                <xdr:colOff>297180</xdr:colOff>
                <xdr:row>26</xdr:row>
                <xdr:rowOff>137160</xdr:rowOff>
              </to>
            </anchor>
          </controlPr>
        </control>
      </mc:Choice>
      <mc:Fallback>
        <control shapeId="1025" r:id="rId5" name="chk_tax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Sheet1</vt:lpstr>
      <vt:lpstr>Discount</vt:lpstr>
      <vt:lpstr>Subtotal</vt:lpstr>
      <vt:lpstr>Tax</vt:lpstr>
      <vt:lpstr>Total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Cameron Mark Lusvardi</dc:creator>
  <cp:lastModifiedBy>kscbr</cp:lastModifiedBy>
  <dcterms:created xsi:type="dcterms:W3CDTF">2016-07-26T22:08:35Z</dcterms:created>
  <dcterms:modified xsi:type="dcterms:W3CDTF">2021-05-19T21:09:19Z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4a784664-8a9b-44d5-9cd0-b08de25acfbe</vt:lpwstr>
  </property>
</Properties>
</file>