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array_forumulas\"/>
    </mc:Choice>
  </mc:AlternateContent>
  <xr:revisionPtr revIDLastSave="0" documentId="13_ncr:1_{95CA04FB-C21F-49FA-B5A9-FCDFAF9B8BF9}"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Fill">Sheet1!$F$14:$F$22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aintenance">Sheet1!$E$14:$E$22</definedName>
    <definedName name="Price">Sheet1!$D$14:$D$22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8" i="1" l="1" a="1"/>
  <c r="H28" i="1" s="1"/>
  <c r="H26" i="1" a="1"/>
  <c r="H26" i="1" s="1"/>
  <c r="E28" i="1" a="1"/>
  <c r="E28" i="1" s="1"/>
  <c r="E26" i="1" a="1"/>
  <c r="E26" i="1" s="1"/>
  <c r="B28" i="1"/>
  <c r="B26" i="1" a="1"/>
  <c r="B26" i="1" s="1"/>
</calcChain>
</file>

<file path=xl/sharedStrings.xml><?xml version="1.0" encoding="utf-8"?>
<sst xmlns="http://schemas.openxmlformats.org/spreadsheetml/2006/main" count="33" uniqueCount="22">
  <si>
    <t>Car</t>
  </si>
  <si>
    <t>Type</t>
  </si>
  <si>
    <t>Sedan</t>
  </si>
  <si>
    <t>SUV</t>
  </si>
  <si>
    <t>Truck</t>
  </si>
  <si>
    <t>Volvo</t>
  </si>
  <si>
    <t>Volkswagon</t>
  </si>
  <si>
    <t>Jeep</t>
  </si>
  <si>
    <t>Honda</t>
  </si>
  <si>
    <t>Hyundi</t>
  </si>
  <si>
    <t>Nissan</t>
  </si>
  <si>
    <t>Ford</t>
  </si>
  <si>
    <t>Audi</t>
  </si>
  <si>
    <t>Dodge</t>
  </si>
  <si>
    <t>Price</t>
  </si>
  <si>
    <t>Fill Up Cost</t>
  </si>
  <si>
    <t>Average of Top 3 Most Expensive</t>
  </si>
  <si>
    <t>Average of Bottom 4 Least Expensive</t>
  </si>
  <si>
    <t>Price + Maintenance</t>
  </si>
  <si>
    <t>Maintenance Cost</t>
  </si>
  <si>
    <t>Price + Maintenance + Fill</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</si>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</sst>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7" x14ac:knownFonts="1">
    <font>
      <sz val="11"/>
      <color theme="1"/>
      <name val="Calibri"/>
      <family val="2"/>
      <scheme val="minor"/>
    </font>
    <font>
      <b/>
      <i/>
      <sz val="11"/>
      <color theme="1"/>
      <name val="Calibri"/>
      <family val="2"/>
      <scheme val="minor"/>
    </font>
    <font>
      <sz val="11"/>
      <color theme="1"/>
      <name val="Calibri"/>
      <family val="2"/>
      <scheme val="minor"/>
    </font>
    <font>
      <b/>
      <sz val="11"/>
      <color theme="1"/>
      <name val="Calibri"/>
      <family val="2"/>
      <scheme val="minor"/>
    </font>
    <font>
      <b/>
      <sz val="14"/>
      <color theme="0"/>
      <name val="Calibri"/>
      <family val="2"/>
      <scheme val="minor"/>
    </font>
    <font>
      <sz val="14"/>
      <color theme="1"/>
      <name val="Calibri"/>
      <family val="2"/>
      <scheme val="minor"/>
    </font>
    <font>
      <b/>
      <sz val="14"/>
      <color theme="1"/>
      <name val="Calibri"/>
      <family val="2"/>
      <scheme val="minor"/>
    </font>
  </fonts>
  <fills count="4">
    <fill>
      <patternFill patternType="none"/>
    </fill>
    <fill>
      <patternFill patternType="gray125"/>
    </fill>
    <fill>
      <patternFill patternType="solid">
        <fgColor rgb="FF0070C0"/>
        <bgColor indexed="64"/>
      </patternFill>
    </fill>
    <fill>
      <patternFill patternType="solid">
        <fgColor rgb="FFCCFF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2" fillId="0" borderId="0" applyFont="0" applyFill="0" applyBorder="0" applyAlignment="0" applyProtection="0"/>
  </cellStyleXfs>
  <cellXfs count="8">
    <xf numFmtId="0" fontId="0" fillId="0" borderId="0" xfId="0"/>
    <xf numFmtId="0" fontId="1" fillId="0" borderId="0" xfId="0" applyFont="1"/>
    <xf numFmtId="0" fontId="5" fillId="0" borderId="1" xfId="0" applyFont="1" applyBorder="1"/>
    <xf numFmtId="0" fontId="4" fillId="2" borderId="1" xfId="0" applyFont="1" applyFill="1" applyBorder="1" applyAlignment="1">
      <alignment horizontal="center" vertical="center" wrapText="1"/>
    </xf>
    <xf numFmtId="44" fontId="5" fillId="0" borderId="1" xfId="1" applyFont="1" applyBorder="1"/>
    <xf numFmtId="0" fontId="3" fillId="0" borderId="0" xfId="0" applyFont="1"/>
    <xf numFmtId="0" fontId="6" fillId="0" borderId="0" xfId="0" applyFont="1"/>
    <xf numFmtId="44" fontId="3" fillId="3" borderId="1" xfId="1" applyFont="1" applyFill="1" applyBorder="1"/>
  </cellXfs>
  <cellStyles count="2">
    <cellStyle name="Currency" xfId="1" builtinId="4"/>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CCFFCC"/>
      <color rgb="FFCCECFF"/>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7</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66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Arrays</a:t>
          </a:r>
        </a:p>
      </xdr:txBody>
    </xdr:sp>
    <xdr:clientData/>
  </xdr:twoCellAnchor>
  <xdr:twoCellAnchor>
    <xdr:from>
      <xdr:col>6</xdr:col>
      <xdr:colOff>371475</xdr:colOff>
      <xdr:row>10</xdr:row>
      <xdr:rowOff>133349</xdr:rowOff>
    </xdr:from>
    <xdr:to>
      <xdr:col>12</xdr:col>
      <xdr:colOff>533400</xdr:colOff>
      <xdr:row>22</xdr:row>
      <xdr:rowOff>114299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29325" y="2038349"/>
          <a:ext cx="4343400" cy="2981325"/>
        </a:xfrm>
        <a:prstGeom prst="rect">
          <a:avLst/>
        </a:prstGeom>
        <a:ln w="28575">
          <a:solidFill>
            <a:srgbClr val="7030A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b="1"/>
            <a:t>You are doing some car shopping and you have come up with</a:t>
          </a:r>
          <a:r>
            <a:rPr lang="en-US" sz="1100" b="1" baseline="0"/>
            <a:t> a few options after doing some research.  You would like to figure out some averages to get an idea of how much money you need before you buy. Use arrays to calculate the values below. The columns in the table have been named "Price" "Maintenance" and "Fill" for convenience. When doing calculations with the fill column, times the column by 24 (The amount of times you suspect you will fill up your car with gas during the year). Don't forget! ctrl+shift+enter</a:t>
          </a:r>
        </a:p>
        <a:p>
          <a:endParaRPr lang="en-US" sz="1100" b="1" baseline="0"/>
        </a:p>
        <a:p>
          <a:r>
            <a:rPr lang="en-US" sz="1100" b="1" baseline="0"/>
            <a:t>Tips:</a:t>
          </a:r>
        </a:p>
        <a:p>
          <a:r>
            <a:rPr lang="en-US" sz="1100" b="1"/>
            <a:t>Use the Large() and</a:t>
          </a:r>
          <a:r>
            <a:rPr lang="en-US" sz="1100" b="1" baseline="0"/>
            <a:t> Small() Functions to get the top few or bottom few</a:t>
          </a:r>
        </a:p>
        <a:p>
          <a:endParaRPr lang="en-US" sz="1100" b="1" baseline="0"/>
        </a:p>
        <a:p>
          <a:r>
            <a:rPr lang="en-US" sz="1100" b="1" baseline="0"/>
            <a:t>Example:</a:t>
          </a:r>
        </a:p>
        <a:p>
          <a:r>
            <a:rPr lang="en-US" sz="1100" b="1" baseline="0"/>
            <a:t>Average of Bottom 4 Least Expensive for Price + Maintenance + Fill</a:t>
          </a:r>
        </a:p>
        <a:p>
          <a:r>
            <a:rPr lang="en-US" sz="1100" b="1" baseline="0"/>
            <a:t>=average(small(price+maintenance+fill*24,{1,2,3,4})</a:t>
          </a:r>
        </a:p>
        <a:p>
          <a:r>
            <a:rPr lang="en-US" sz="1100" b="1" baseline="0"/>
            <a:t>ctrl+shift+enter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J29"/>
  <sheetViews>
    <sheetView tabSelected="1" workbookViewId="0">
      <selection activeCell="A9" sqref="A9"/>
    </sheetView>
  </sheetViews>
  <sheetFormatPr defaultRowHeight="14.4" x14ac:dyDescent="0.3"/>
  <cols>
    <col min="2" max="2" width="14.88671875" bestFit="1" customWidth="1"/>
    <col min="3" max="3" width="8" bestFit="1" customWidth="1"/>
    <col min="4" max="4" width="16" bestFit="1" customWidth="1"/>
    <col min="5" max="5" width="15.5546875" customWidth="1"/>
    <col min="6" max="6" width="12.109375" customWidth="1"/>
    <col min="7" max="7" width="10.6640625" customWidth="1"/>
    <col min="8" max="8" width="15.44140625" customWidth="1"/>
  </cols>
  <sheetData>
    <row r="9" spans="1:6" x14ac:dyDescent="0.3">
      <c r="A9" s="1" t="s">
        <v>21</v>
      </c>
    </row>
    <row r="13" spans="1:6" ht="36" x14ac:dyDescent="0.3">
      <c r="B13" s="3" t="s">
        <v>0</v>
      </c>
      <c r="C13" s="3" t="s">
        <v>1</v>
      </c>
      <c r="D13" s="3" t="s">
        <v>14</v>
      </c>
      <c r="E13" s="3" t="s">
        <v>19</v>
      </c>
      <c r="F13" s="3" t="s">
        <v>15</v>
      </c>
    </row>
    <row r="14" spans="1:6" ht="18" x14ac:dyDescent="0.35">
      <c r="B14" s="2" t="s">
        <v>5</v>
      </c>
      <c r="C14" s="2" t="s">
        <v>2</v>
      </c>
      <c r="D14" s="4">
        <v>47125</v>
      </c>
      <c r="E14" s="4">
        <v>2150</v>
      </c>
      <c r="F14" s="4">
        <v>42.95</v>
      </c>
    </row>
    <row r="15" spans="1:6" ht="18" x14ac:dyDescent="0.35">
      <c r="B15" s="2" t="s">
        <v>6</v>
      </c>
      <c r="C15" s="2" t="s">
        <v>3</v>
      </c>
      <c r="D15" s="4">
        <v>25300</v>
      </c>
      <c r="E15" s="4">
        <v>2200</v>
      </c>
      <c r="F15" s="4">
        <v>58.45</v>
      </c>
    </row>
    <row r="16" spans="1:6" ht="18" x14ac:dyDescent="0.35">
      <c r="B16" s="2" t="s">
        <v>7</v>
      </c>
      <c r="C16" s="2" t="s">
        <v>4</v>
      </c>
      <c r="D16" s="4">
        <v>39000</v>
      </c>
      <c r="E16" s="4">
        <v>1750</v>
      </c>
      <c r="F16" s="4">
        <v>59</v>
      </c>
    </row>
    <row r="17" spans="2:10" ht="18" x14ac:dyDescent="0.35">
      <c r="B17" s="2" t="s">
        <v>12</v>
      </c>
      <c r="C17" s="2" t="s">
        <v>2</v>
      </c>
      <c r="D17" s="4">
        <v>52000</v>
      </c>
      <c r="E17" s="4">
        <v>3600</v>
      </c>
      <c r="F17" s="4">
        <v>48.98</v>
      </c>
    </row>
    <row r="18" spans="2:10" ht="18" x14ac:dyDescent="0.35">
      <c r="B18" s="2" t="s">
        <v>8</v>
      </c>
      <c r="C18" s="2" t="s">
        <v>2</v>
      </c>
      <c r="D18" s="4">
        <v>23750</v>
      </c>
      <c r="E18" s="4">
        <v>1540</v>
      </c>
      <c r="F18" s="4">
        <v>32.15</v>
      </c>
    </row>
    <row r="19" spans="2:10" ht="18" x14ac:dyDescent="0.35">
      <c r="B19" s="2" t="s">
        <v>9</v>
      </c>
      <c r="C19" s="2" t="s">
        <v>4</v>
      </c>
      <c r="D19" s="4">
        <v>22150</v>
      </c>
      <c r="E19" s="4">
        <v>1600</v>
      </c>
      <c r="F19" s="4">
        <v>35.450000000000003</v>
      </c>
    </row>
    <row r="20" spans="2:10" ht="18" x14ac:dyDescent="0.35">
      <c r="B20" s="2" t="s">
        <v>10</v>
      </c>
      <c r="C20" s="2" t="s">
        <v>3</v>
      </c>
      <c r="D20" s="4">
        <v>35400</v>
      </c>
      <c r="E20" s="4">
        <v>2300</v>
      </c>
      <c r="F20" s="4">
        <v>42.87</v>
      </c>
    </row>
    <row r="21" spans="2:10" ht="18" x14ac:dyDescent="0.35">
      <c r="B21" s="2" t="s">
        <v>11</v>
      </c>
      <c r="C21" s="2" t="s">
        <v>2</v>
      </c>
      <c r="D21" s="4">
        <v>32360</v>
      </c>
      <c r="E21" s="4">
        <v>2000</v>
      </c>
      <c r="F21" s="4">
        <v>35.950000000000003</v>
      </c>
    </row>
    <row r="22" spans="2:10" ht="18" x14ac:dyDescent="0.35">
      <c r="B22" s="2" t="s">
        <v>13</v>
      </c>
      <c r="C22" s="2" t="s">
        <v>4</v>
      </c>
      <c r="D22" s="4">
        <v>40000</v>
      </c>
      <c r="E22" s="4">
        <v>1998</v>
      </c>
      <c r="F22" s="4">
        <v>49.99</v>
      </c>
    </row>
    <row r="24" spans="2:10" ht="18" x14ac:dyDescent="0.35">
      <c r="B24" s="6" t="s">
        <v>14</v>
      </c>
      <c r="C24" s="6"/>
      <c r="D24" s="6"/>
      <c r="E24" s="6" t="s">
        <v>18</v>
      </c>
      <c r="F24" s="6"/>
      <c r="H24" s="6" t="s">
        <v>20</v>
      </c>
      <c r="I24" s="6"/>
    </row>
    <row r="25" spans="2:10" x14ac:dyDescent="0.3">
      <c r="B25" s="5" t="s">
        <v>16</v>
      </c>
      <c r="C25" s="5"/>
      <c r="D25" s="5"/>
      <c r="E25" s="5" t="s">
        <v>16</v>
      </c>
      <c r="F25" s="5"/>
      <c r="H25" s="5" t="s">
        <v>16</v>
      </c>
      <c r="I25" s="5"/>
      <c r="J25" s="5"/>
    </row>
    <row r="26" spans="2:10" x14ac:dyDescent="0.3">
      <c r="B26" s="7">
        <f t="array" ref="B26">AVERAGE(LARGE(Price,{1,2,3}))</f>
        <v>46375</v>
      </c>
      <c r="C26" s="5"/>
      <c r="D26" s="5"/>
      <c r="E26" s="7">
        <f t="array" ref="E26">AVERAGE(LARGE(Price+Maintenance,{1,2,3}))</f>
        <v>48957.666666666664</v>
      </c>
      <c r="F26" s="5"/>
      <c r="H26" s="7">
        <f t="array" ref="H26">AVERAGE(LARGE(Price+Maintenance+Fill*24,{1,2,3}))</f>
        <v>50093.026666666672</v>
      </c>
      <c r="I26" s="5"/>
      <c r="J26" s="5"/>
    </row>
    <row r="27" spans="2:10" x14ac:dyDescent="0.3">
      <c r="B27" s="5" t="s">
        <v>17</v>
      </c>
      <c r="C27" s="5"/>
      <c r="D27" s="5"/>
      <c r="E27" s="5" t="s">
        <v>17</v>
      </c>
      <c r="F27" s="5"/>
      <c r="H27" s="5" t="s">
        <v>17</v>
      </c>
      <c r="I27" s="5"/>
      <c r="J27" s="5"/>
    </row>
    <row r="28" spans="2:10" x14ac:dyDescent="0.3">
      <c r="B28" s="7">
        <f>AVERAGE(SMALL(Price,{1,2,3,4}))</f>
        <v>25890</v>
      </c>
      <c r="C28" s="5"/>
      <c r="D28" s="5"/>
      <c r="E28" s="7">
        <f t="array" ref="E28">AVERAGE(SMALL(Price+Maintenance,{1,2,3,4}))</f>
        <v>27725</v>
      </c>
      <c r="F28" s="5"/>
      <c r="H28" s="7">
        <f t="array" ref="H28">AVERAGE(SMALL(Price+Maintenance+Fill*24,{1,2,3,4}))</f>
        <v>28697</v>
      </c>
      <c r="I28" s="5"/>
      <c r="J28" s="5"/>
    </row>
    <row r="29" spans="2:10" x14ac:dyDescent="0.3">
      <c r="I29" s="5"/>
      <c r="J29" s="5"/>
    </row>
  </sheetData>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Fill</vt:lpstr>
      <vt:lpstr>Maintenance</vt:lpstr>
      <vt:lpst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2021-05-19T17:35:32Z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