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excel-if\"/>
    </mc:Choice>
  </mc:AlternateContent>
  <xr:revisionPtr revIDLastSave="0" documentId="13_ncr:1_{644BB934-F984-4336-BF6D-A8D15466EBC7}" xr6:coauthVersionLast="46" xr6:coauthVersionMax="46" xr10:uidLastSave="{00000000-0000-0000-0000-000000000000}"/>
  <bookViews>
    <workbookView xWindow="-108" yWindow="972" windowWidth="23256" windowHeight="11496" xr2:uid="{00000000-000D-0000-FFFF-FFFF00000000}"/>
  </bookViews>
  <sheets>
    <sheet name="Sheet1" sheetId="1" r:id="rId1"/>
    <sheet name="Sheet2" sheetId="3" r:id="rId2"/>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9" i="1" l="1"/>
  <c r="I17" i="1"/>
  <c r="I15" i="1"/>
  <c r="I13" i="1"/>
  <c r="I11" i="1"/>
  <c r="I9" i="1"/>
  <c r="I23" i="1" l="1"/>
</calcChain>
</file>

<file path=xl/sharedStrings.xml><?xml version="1.0" encoding="utf-8"?>
<sst xmlns="http://schemas.openxmlformats.org/spreadsheetml/2006/main" count="40" uniqueCount="34">
  <si>
    <t>Are you at BYU?</t>
  </si>
  <si>
    <t>What is your major?</t>
  </si>
  <si>
    <t>What is your year?</t>
  </si>
  <si>
    <t>Are you going to get a Masters?</t>
  </si>
  <si>
    <t>How many credits will you take each semester on average?</t>
  </si>
  <si>
    <t>Will you attend spring summer?</t>
  </si>
  <si>
    <t>Yes</t>
  </si>
  <si>
    <t>No</t>
  </si>
  <si>
    <t>Civil Engineering</t>
  </si>
  <si>
    <t>Mechanical Engineering</t>
  </si>
  <si>
    <t>Computer Engineering</t>
  </si>
  <si>
    <t>I'm not an Engineer :(</t>
  </si>
  <si>
    <t>Chemical Engineering</t>
  </si>
  <si>
    <t>Electrical Engineering</t>
  </si>
  <si>
    <t>Freshman</t>
  </si>
  <si>
    <t>Junior</t>
  </si>
  <si>
    <t>Senior</t>
  </si>
  <si>
    <t>Years</t>
  </si>
  <si>
    <t>Condition</t>
  </si>
  <si>
    <t>If Yes, then Years = 4</t>
  </si>
  <si>
    <t>If No, then Years = 10</t>
  </si>
  <si>
    <t>If any Engineering, then Years = 1</t>
  </si>
  <si>
    <t>If not Engineering, then Years = 0</t>
  </si>
  <si>
    <t>Total</t>
  </si>
  <si>
    <t>Number of years left</t>
  </si>
  <si>
    <t>If Yes, then Years = 2</t>
  </si>
  <si>
    <t xml:space="preserve">If No, then Years = 0 </t>
  </si>
  <si>
    <t xml:space="preserve"> or if Years &gt; or = 16 then Years -1</t>
  </si>
  <si>
    <t>If &lt; 12 Credits, then Years = 2, If &gt; or = 12 and &lt; 16 then Years = 0</t>
  </si>
  <si>
    <t>If Yes, then Years = -1</t>
  </si>
  <si>
    <t>Sophomore</t>
  </si>
  <si>
    <t>If Freshman, then Years = 0, Sophomore then Years = -1</t>
  </si>
  <si>
    <t>Junior, then Years = -2 or Senior, then years = -3</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</si>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</sst>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Calibri"/>
      <family val="2"/>
      <scheme val="minor"/>
    </font>
    <font>
      <b/>
      <i/>
      <sz val="11"/>
      <color theme="1"/>
      <name val="Calibri"/>
      <family val="2"/>
      <scheme val="minor"/>
    </font>
    <font>
      <b/>
      <sz val="11"/>
      <color theme="0"/>
      <name val="Calibri"/>
      <family val="2"/>
      <scheme val="minor"/>
    </font>
  </fonts>
  <fills count="4">
    <fill>
      <patternFill patternType="none"/>
    </fill>
    <fill>
      <patternFill patternType="gray125"/>
    </fill>
    <fill>
      <patternFill patternType="solid">
        <fgColor rgb="FFFFFF00"/>
        <bgColor indexed="64"/>
      </patternFill>
    </fill>
    <fill>
      <patternFill patternType="solid">
        <fgColor theme="1" tint="0.249977111117893"/>
        <bgColor indexed="64"/>
      </patternFill>
    </fill>
  </fills>
  <borders count="11">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16">
    <xf numFmtId="0" fontId="0" fillId="0" borderId="0" xfId="0"/>
    <xf numFmtId="0" fontId="1" fillId="0" borderId="0" xfId="0" applyFont="1"/>
    <xf numFmtId="0" fontId="0" fillId="2" borderId="1" xfId="0" applyFont="1" applyFill="1" applyBorder="1"/>
    <xf numFmtId="0" fontId="2" fillId="3" borderId="0" xfId="0" applyFont="1" applyFill="1" applyAlignment="1">
      <alignment horizontal="center"/>
    </xf>
    <xf numFmtId="0" fontId="0" fillId="0" borderId="1" xfId="0" applyBorder="1"/>
    <xf numFmtId="0" fontId="0" fillId="0" borderId="2" xfId="0" applyBorder="1"/>
    <xf numFmtId="0" fontId="0" fillId="2" borderId="2" xfId="0" applyFont="1" applyFill="1" applyBorder="1" applyAlignment="1">
      <alignment horizontal="center"/>
    </xf>
    <xf numFmtId="0" fontId="0" fillId="2" borderId="3" xfId="0" applyFont="1" applyFill="1" applyBorder="1" applyAlignment="1">
      <alignment horizontal="center"/>
    </xf>
    <xf numFmtId="0" fontId="0" fillId="2" borderId="4" xfId="0" applyFont="1" applyFill="1" applyBorder="1" applyAlignment="1">
      <alignment horizontal="center"/>
    </xf>
    <xf numFmtId="0" fontId="2" fillId="3" borderId="0" xfId="0" applyFont="1" applyFill="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10" xfId="0" applyBorder="1" applyAlignment="1">
      <alignment horizontal="center"/>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0</xdr:col>
      <xdr:colOff>238124</xdr:colOff>
      <xdr:row>0</xdr:row>
      <xdr:rowOff>76200</xdr:rowOff>
    </xdr:from>
    <xdr:to>
      <xdr:col>10</xdr:col>
      <xdr:colOff>209550</xdr:colOff>
      <xdr:row>5</xdr:row>
      <xdr:rowOff>114300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38124" y="76200"/>
          <a:ext cx="7019926" cy="990600"/>
        </a:xfrm>
        <a:prstGeom prst="rect">
          <a:avLst/>
        </a:prstGeom>
        <a:solidFill>
          <a:srgbClr val="FF0000"/>
        </a:solidFill>
        <a:ln/>
        <a:effectLst>
          <a:outerShdw blurRad="50800" dist="38100" dir="8100000" algn="tr" rotWithShape="0">
            <a:prstClr val="black">
              <a:alpha val="40000"/>
            </a:prstClr>
          </a:outerShdw>
        </a:effectLst>
      </xdr:spPr>
      <xdr:style>
        <a:lnRef idx="3">
          <a:schemeClr val="lt1"/>
        </a:lnRef>
        <a:fillRef idx="1">
          <a:schemeClr val="accent1"/>
        </a:fillRef>
        <a:effectRef idx="1">
          <a:schemeClr val="accent1"/>
        </a:effectRef>
        <a:fontRef idx="minor">
          <a:schemeClr val="lt1"/>
        </a:fontRef>
      </xdr:style>
      <xdr:txBody>
        <a:bodyPr vertOverflow="clip" horzOverflow="clip" wrap="square" rtlCol="0" anchor="ctr"/>
        <a:lstStyle/>
        <a:p>
          <a:pPr algn="ctr"/>
          <a:r>
            <a:rPr lang="en-US" sz="4400"/>
            <a:t>Number of School Years Left</a:t>
          </a:r>
        </a:p>
      </xdr:txBody>
    </xdr:sp>
    <xdr:clientData/>
  </xdr:twoCellAnchor>
  <xdr:twoCellAnchor>
    <xdr:from>
      <xdr:col>0</xdr:col>
      <xdr:colOff>361950</xdr:colOff>
      <xdr:row>20</xdr:row>
      <xdr:rowOff>95250</xdr:rowOff>
    </xdr:from>
    <xdr:to>
      <xdr:col>7</xdr:col>
      <xdr:colOff>381000</xdr:colOff>
      <xdr:row>29</xdr:row>
      <xdr:rowOff>114300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361950" y="4029075"/>
          <a:ext cx="5581650" cy="1752600"/>
        </a:xfrm>
        <a:prstGeom prst="rect">
          <a:avLst/>
        </a:prstGeom>
        <a:ln w="38100">
          <a:solidFill>
            <a:schemeClr val="accent3">
              <a:lumMod val="50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n-US" sz="1800" b="1"/>
            <a:t>This is a calculator</a:t>
          </a:r>
          <a:r>
            <a:rPr lang="en-US" sz="1800" b="1" baseline="0"/>
            <a:t> used to determine how many years you have left of school. Fill in the criteria. Write an if function under Years that is dependent on the criteria and conditions given. Add up the total in I23 to determine how many years of school you have left. </a:t>
          </a:r>
          <a:r>
            <a:rPr lang="en-US" sz="1400" b="1" baseline="0"/>
            <a:t>Keep in mind, this is probably not correct.</a:t>
          </a:r>
          <a:endParaRPr lang="en-US" sz="14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7:O23"/>
  <sheetViews>
    <sheetView showGridLines="0" tabSelected="1" workbookViewId="0">
      <selection activeCell="A7" sqref="A7"/>
    </sheetView>
  </sheetViews>
  <sheetFormatPr defaultRowHeight="14.4" x14ac:dyDescent="0.3"/>
  <cols>
    <col min="1" max="1" width="6.6640625" customWidth="1"/>
    <col min="2" max="2" width="31.44140625" customWidth="1"/>
    <col min="3" max="3" width="11.88671875" customWidth="1"/>
    <col min="5" max="5" width="9" customWidth="1"/>
    <col min="6" max="6" width="8.88671875" customWidth="1"/>
    <col min="10" max="10" width="9.109375" customWidth="1"/>
    <col min="15" max="15" width="10.6640625" customWidth="1"/>
  </cols>
  <sheetData>
    <row r="7" spans="1:15" x14ac:dyDescent="0.3">
      <c r="A7" s="1" t="s">
        <v>33</v>
      </c>
    </row>
    <row r="8" spans="1:15" ht="15" thickBot="1" x14ac:dyDescent="0.35">
      <c r="I8" s="3" t="s">
        <v>17</v>
      </c>
      <c r="J8" s="9" t="s">
        <v>18</v>
      </c>
      <c r="K8" s="9"/>
      <c r="L8" s="9"/>
      <c r="M8" s="9"/>
      <c r="N8" s="9"/>
      <c r="O8" s="9"/>
    </row>
    <row r="9" spans="1:15" ht="15" thickBot="1" x14ac:dyDescent="0.35">
      <c r="B9" t="s">
        <v>0</v>
      </c>
      <c r="C9" s="2" t="s">
        <v>6</v>
      </c>
      <c r="I9" s="5">
        <f>IF(C9="Yes",4,10)</f>
        <v>4</v>
      </c>
      <c r="J9" s="10" t="s">
        <v>19</v>
      </c>
      <c r="K9" s="11"/>
      <c r="L9" s="11"/>
      <c r="M9" s="11"/>
      <c r="N9" s="11"/>
      <c r="O9" s="12"/>
    </row>
    <row r="10" spans="1:15" ht="15" thickBot="1" x14ac:dyDescent="0.35">
      <c r="J10" s="13" t="s">
        <v>20</v>
      </c>
      <c r="K10" s="14"/>
      <c r="L10" s="14"/>
      <c r="M10" s="14"/>
      <c r="N10" s="14"/>
      <c r="O10" s="15"/>
    </row>
    <row r="11" spans="1:15" ht="15" thickBot="1" x14ac:dyDescent="0.35">
      <c r="B11" t="s">
        <v>1</v>
      </c>
      <c r="C11" s="6" t="s">
        <v>10</v>
      </c>
      <c r="D11" s="7"/>
      <c r="E11" s="8"/>
      <c r="I11" s="5">
        <f>IF(C11="I'm not an Engineer :(",0,1)</f>
        <v>1</v>
      </c>
      <c r="J11" s="10" t="s">
        <v>21</v>
      </c>
      <c r="K11" s="11"/>
      <c r="L11" s="11"/>
      <c r="M11" s="11"/>
      <c r="N11" s="11"/>
      <c r="O11" s="12"/>
    </row>
    <row r="12" spans="1:15" ht="15" thickBot="1" x14ac:dyDescent="0.35">
      <c r="J12" s="13" t="s">
        <v>22</v>
      </c>
      <c r="K12" s="14"/>
      <c r="L12" s="14"/>
      <c r="M12" s="14"/>
      <c r="N12" s="14"/>
      <c r="O12" s="15"/>
    </row>
    <row r="13" spans="1:15" ht="15" thickBot="1" x14ac:dyDescent="0.35">
      <c r="B13" t="s">
        <v>2</v>
      </c>
      <c r="C13" s="2" t="s">
        <v>16</v>
      </c>
      <c r="I13" s="4">
        <f>IF(C13="Freshman",0,IF(C13="Sophomore",-1,IF(C13="Junior",-2,-3)))</f>
        <v>-3</v>
      </c>
      <c r="J13" s="10" t="s">
        <v>31</v>
      </c>
      <c r="K13" s="11"/>
      <c r="L13" s="11"/>
      <c r="M13" s="11"/>
      <c r="N13" s="11"/>
      <c r="O13" s="12"/>
    </row>
    <row r="14" spans="1:15" ht="15" thickBot="1" x14ac:dyDescent="0.35">
      <c r="J14" s="13" t="s">
        <v>32</v>
      </c>
      <c r="K14" s="14"/>
      <c r="L14" s="14"/>
      <c r="M14" s="14"/>
      <c r="N14" s="14"/>
      <c r="O14" s="15"/>
    </row>
    <row r="15" spans="1:15" ht="15" thickBot="1" x14ac:dyDescent="0.35">
      <c r="B15" t="s">
        <v>3</v>
      </c>
      <c r="C15" s="2" t="s">
        <v>6</v>
      </c>
      <c r="I15" s="4">
        <f>IF(C15="Yes",2,0)</f>
        <v>2</v>
      </c>
      <c r="J15" s="10" t="s">
        <v>25</v>
      </c>
      <c r="K15" s="11"/>
      <c r="L15" s="11"/>
      <c r="M15" s="11"/>
      <c r="N15" s="11"/>
      <c r="O15" s="12"/>
    </row>
    <row r="16" spans="1:15" ht="15" thickBot="1" x14ac:dyDescent="0.35">
      <c r="J16" s="13" t="s">
        <v>26</v>
      </c>
      <c r="K16" s="14"/>
      <c r="L16" s="14"/>
      <c r="M16" s="14"/>
      <c r="N16" s="14"/>
      <c r="O16" s="15"/>
    </row>
    <row r="17" spans="2:15" ht="15" thickBot="1" x14ac:dyDescent="0.35">
      <c r="B17" t="s">
        <v>4</v>
      </c>
      <c r="F17" s="2">
        <v>16</v>
      </c>
      <c r="I17" s="4">
        <f>IF(F17&lt;12,2,IF(AND(F17&gt;=12,F17&lt;16),0,-1))</f>
        <v>-1</v>
      </c>
      <c r="J17" s="10" t="s">
        <v>28</v>
      </c>
      <c r="K17" s="11"/>
      <c r="L17" s="11"/>
      <c r="M17" s="11"/>
      <c r="N17" s="11"/>
      <c r="O17" s="12"/>
    </row>
    <row r="18" spans="2:15" ht="15" thickBot="1" x14ac:dyDescent="0.35">
      <c r="J18" s="13" t="s">
        <v>27</v>
      </c>
      <c r="K18" s="14"/>
      <c r="L18" s="14"/>
      <c r="M18" s="14"/>
      <c r="N18" s="14"/>
      <c r="O18" s="15"/>
    </row>
    <row r="19" spans="2:15" ht="15" thickBot="1" x14ac:dyDescent="0.35">
      <c r="B19" t="s">
        <v>5</v>
      </c>
      <c r="C19" s="2" t="s">
        <v>7</v>
      </c>
      <c r="I19" s="5">
        <f>IF(C19="Yes",-1,0)</f>
        <v>0</v>
      </c>
      <c r="J19" s="10" t="s">
        <v>29</v>
      </c>
      <c r="K19" s="11"/>
      <c r="L19" s="11"/>
      <c r="M19" s="11"/>
      <c r="N19" s="11"/>
      <c r="O19" s="12"/>
    </row>
    <row r="20" spans="2:15" ht="15" thickBot="1" x14ac:dyDescent="0.35">
      <c r="J20" s="13" t="s">
        <v>26</v>
      </c>
      <c r="K20" s="14"/>
      <c r="L20" s="14"/>
      <c r="M20" s="14"/>
      <c r="N20" s="14"/>
      <c r="O20" s="15"/>
    </row>
    <row r="22" spans="2:15" ht="15" thickBot="1" x14ac:dyDescent="0.35">
      <c r="I22" s="3" t="s">
        <v>23</v>
      </c>
    </row>
    <row r="23" spans="2:15" ht="15" thickBot="1" x14ac:dyDescent="0.35">
      <c r="I23" s="4">
        <f>I9+I13+I11+I15+I17+I19</f>
        <v>3</v>
      </c>
      <c r="J23" t="s">
        <v>24</v>
      </c>
    </row>
  </sheetData>
  <mergeCells count="14">
    <mergeCell ref="C11:E11"/>
    <mergeCell ref="J8:O8"/>
    <mergeCell ref="J17:O17"/>
    <mergeCell ref="J18:O18"/>
    <mergeCell ref="J20:O20"/>
    <mergeCell ref="J19:O19"/>
    <mergeCell ref="J9:O9"/>
    <mergeCell ref="J10:O10"/>
    <mergeCell ref="J11:O11"/>
    <mergeCell ref="J12:O12"/>
    <mergeCell ref="J13:O13"/>
    <mergeCell ref="J14:O14"/>
    <mergeCell ref="J15:O15"/>
    <mergeCell ref="J16:O16"/>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0000000}">
          <x14:formula1>
            <xm:f>Sheet2!$A$1:$A$2</xm:f>
          </x14:formula1>
          <xm:sqref>C9 C15 C19</xm:sqref>
        </x14:dataValidation>
        <x14:dataValidation type="list" allowBlank="1" showInputMessage="1" showErrorMessage="1" xr:uid="{00000000-0002-0000-0000-000001000000}">
          <x14:formula1>
            <xm:f>Sheet2!$A$4:$A$9</xm:f>
          </x14:formula1>
          <xm:sqref>C11</xm:sqref>
        </x14:dataValidation>
        <x14:dataValidation type="list" allowBlank="1" showInputMessage="1" showErrorMessage="1" xr:uid="{00000000-0002-0000-0000-000002000000}">
          <x14:formula1>
            <xm:f>Sheet2!$A$11:$A$14</xm:f>
          </x14:formula1>
          <xm:sqref>C13</xm:sqref>
        </x14:dataValidation>
        <x14:dataValidation type="list" allowBlank="1" showInputMessage="1" showErrorMessage="1" xr:uid="{00000000-0002-0000-0000-000003000000}">
          <x14:formula1>
            <xm:f>Sheet2!$A$17:$A$34</xm:f>
          </x14:formula1>
          <xm:sqref>F17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34"/>
  <sheetViews>
    <sheetView workbookViewId="0">
      <selection activeCell="E19" sqref="E19"/>
    </sheetView>
  </sheetViews>
  <sheetFormatPr defaultRowHeight="14.4" x14ac:dyDescent="0.3"/>
  <sheetData>
    <row r="1" spans="1:1" x14ac:dyDescent="0.3">
      <c r="A1" t="s">
        <v>6</v>
      </c>
    </row>
    <row r="2" spans="1:1" x14ac:dyDescent="0.3">
      <c r="A2" t="s">
        <v>7</v>
      </c>
    </row>
    <row r="4" spans="1:1" x14ac:dyDescent="0.3">
      <c r="A4" t="s">
        <v>8</v>
      </c>
    </row>
    <row r="5" spans="1:1" x14ac:dyDescent="0.3">
      <c r="A5" t="s">
        <v>9</v>
      </c>
    </row>
    <row r="6" spans="1:1" x14ac:dyDescent="0.3">
      <c r="A6" t="s">
        <v>10</v>
      </c>
    </row>
    <row r="7" spans="1:1" x14ac:dyDescent="0.3">
      <c r="A7" t="s">
        <v>12</v>
      </c>
    </row>
    <row r="8" spans="1:1" x14ac:dyDescent="0.3">
      <c r="A8" t="s">
        <v>13</v>
      </c>
    </row>
    <row r="9" spans="1:1" x14ac:dyDescent="0.3">
      <c r="A9" t="s">
        <v>11</v>
      </c>
    </row>
    <row r="11" spans="1:1" x14ac:dyDescent="0.3">
      <c r="A11" t="s">
        <v>14</v>
      </c>
    </row>
    <row r="12" spans="1:1" x14ac:dyDescent="0.3">
      <c r="A12" t="s">
        <v>30</v>
      </c>
    </row>
    <row r="13" spans="1:1" x14ac:dyDescent="0.3">
      <c r="A13" t="s">
        <v>15</v>
      </c>
    </row>
    <row r="14" spans="1:1" x14ac:dyDescent="0.3">
      <c r="A14" t="s">
        <v>16</v>
      </c>
    </row>
    <row r="17" spans="1:1" x14ac:dyDescent="0.3">
      <c r="A17">
        <v>1</v>
      </c>
    </row>
    <row r="18" spans="1:1" x14ac:dyDescent="0.3">
      <c r="A18">
        <v>2</v>
      </c>
    </row>
    <row r="19" spans="1:1" x14ac:dyDescent="0.3">
      <c r="A19">
        <v>3</v>
      </c>
    </row>
    <row r="20" spans="1:1" x14ac:dyDescent="0.3">
      <c r="A20">
        <v>4</v>
      </c>
    </row>
    <row r="21" spans="1:1" x14ac:dyDescent="0.3">
      <c r="A21">
        <v>5</v>
      </c>
    </row>
    <row r="22" spans="1:1" x14ac:dyDescent="0.3">
      <c r="A22">
        <v>6</v>
      </c>
    </row>
    <row r="23" spans="1:1" x14ac:dyDescent="0.3">
      <c r="A23">
        <v>7</v>
      </c>
    </row>
    <row r="24" spans="1:1" x14ac:dyDescent="0.3">
      <c r="A24">
        <v>8</v>
      </c>
    </row>
    <row r="25" spans="1:1" x14ac:dyDescent="0.3">
      <c r="A25">
        <v>9</v>
      </c>
    </row>
    <row r="26" spans="1:1" x14ac:dyDescent="0.3">
      <c r="A26">
        <v>10</v>
      </c>
    </row>
    <row r="27" spans="1:1" x14ac:dyDescent="0.3">
      <c r="A27">
        <v>11</v>
      </c>
    </row>
    <row r="28" spans="1:1" x14ac:dyDescent="0.3">
      <c r="A28">
        <v>12</v>
      </c>
    </row>
    <row r="29" spans="1:1" x14ac:dyDescent="0.3">
      <c r="A29">
        <v>13</v>
      </c>
    </row>
    <row r="30" spans="1:1" x14ac:dyDescent="0.3">
      <c r="A30">
        <v>14</v>
      </c>
    </row>
    <row r="31" spans="1:1" x14ac:dyDescent="0.3">
      <c r="A31">
        <v>15</v>
      </c>
    </row>
    <row r="32" spans="1:1" x14ac:dyDescent="0.3">
      <c r="A32">
        <v>16</v>
      </c>
    </row>
    <row r="33" spans="1:1" x14ac:dyDescent="0.3">
      <c r="A33">
        <v>17</v>
      </c>
    </row>
    <row r="34" spans="1:1" x14ac:dyDescent="0.3">
      <c r="A34">
        <v>18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BYU Electrical &amp; Computer Engineering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2016-04-29T23:23:34Z</dcterms:created>
  <dcterms:modified xsi:type="dcterms:W3CDTF">2021-05-19T17:21:37Z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414cb4ef-c986-4310-a3ae-07dcf3b4ebdd</vt:lpwstr>
  </property>
</Properties>
</file>